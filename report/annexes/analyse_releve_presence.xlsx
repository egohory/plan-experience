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3ee3db27181ed1/Documents/04-Formation/Plans d'expériences/"/>
    </mc:Choice>
  </mc:AlternateContent>
  <xr:revisionPtr revIDLastSave="684" documentId="8_{D63C1458-97B1-4972-95B1-52AC76F4A128}" xr6:coauthVersionLast="47" xr6:coauthVersionMax="47" xr10:uidLastSave="{947E2FA7-6906-4498-9231-64E29AA01162}"/>
  <bookViews>
    <workbookView xWindow="-110" yWindow="-110" windowWidth="19420" windowHeight="10300" firstSheet="4" activeTab="6" xr2:uid="{B3D2A683-9DA6-45B8-96E3-475ADA8A096E}"/>
  </bookViews>
  <sheets>
    <sheet name="Plan_Factoriel" sheetId="1" r:id="rId1"/>
    <sheet name="DATA" sheetId="2" r:id="rId2"/>
    <sheet name="TO_ANALYSE" sheetId="4" r:id="rId3"/>
    <sheet name="JOUR_ANALYSE" sheetId="5" r:id="rId4"/>
    <sheet name="CLIMAT_ANALYSE" sheetId="6" r:id="rId5"/>
    <sheet name="TEMPERATURE_ANALYSE" sheetId="7" r:id="rId6"/>
    <sheet name="MATCH_ANALYSE" sheetId="8" r:id="rId7"/>
  </sheets>
  <definedNames>
    <definedName name="climat">DATA!$B$5:$AV$5</definedName>
    <definedName name="Jeudis">DATA!$B$2:$AV$2</definedName>
    <definedName name="joueurs">DATA!$B$11:$AV$11</definedName>
    <definedName name="Jours">DATA!$B$1:$AV$2</definedName>
    <definedName name="mardi_jeudi">DATA!$B$3:$AV$3</definedName>
    <definedName name="Mardis">DATA!$B$1:$AV$1</definedName>
    <definedName name="match">DATA!$B$8:$AV$8</definedName>
    <definedName name="presence">DATA!$A$11:$AV$11</definedName>
    <definedName name="releve_meteo">DATA!$A$1:$AV$6</definedName>
    <definedName name="temp">DATA!$B$4:$AV$4</definedName>
    <definedName name="tot_jeudis">DATA!$B$14</definedName>
    <definedName name="tot_mardis">DATA!$B$13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F57" i="1" s="1"/>
  <c r="C27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C3" i="2"/>
  <c r="D3" i="2"/>
  <c r="B3" i="2"/>
  <c r="B14" i="2"/>
  <c r="B13" i="2"/>
  <c r="C22" i="2" l="1"/>
  <c r="C24" i="2"/>
  <c r="B22" i="2"/>
  <c r="B28" i="2"/>
  <c r="B17" i="2"/>
  <c r="C25" i="2"/>
  <c r="B25" i="2"/>
  <c r="B26" i="2"/>
  <c r="C17" i="2"/>
  <c r="C26" i="2"/>
  <c r="B24" i="2"/>
  <c r="B18" i="2"/>
  <c r="B27" i="2"/>
  <c r="C18" i="2"/>
  <c r="C29" i="2"/>
  <c r="C30" i="2"/>
  <c r="B20" i="2"/>
  <c r="B29" i="2"/>
  <c r="C20" i="2"/>
  <c r="C31" i="2"/>
  <c r="B19" i="2"/>
  <c r="C19" i="2"/>
  <c r="B21" i="2"/>
  <c r="B30" i="2"/>
  <c r="C21" i="2"/>
  <c r="C32" i="2"/>
  <c r="D22" i="2"/>
  <c r="F52" i="1" s="1"/>
  <c r="B31" i="2"/>
  <c r="C28" i="2"/>
  <c r="B23" i="2"/>
  <c r="B32" i="2"/>
  <c r="C23" i="2"/>
  <c r="D21" i="2" l="1"/>
  <c r="F51" i="1" s="1"/>
  <c r="D24" i="2"/>
  <c r="F54" i="1" s="1"/>
  <c r="D25" i="2"/>
  <c r="F55" i="1" s="1"/>
  <c r="D31" i="2"/>
  <c r="F61" i="1" s="1"/>
  <c r="D20" i="2"/>
  <c r="F50" i="1" s="1"/>
  <c r="D26" i="2"/>
  <c r="F56" i="1" s="1"/>
  <c r="D28" i="2"/>
  <c r="F58" i="1" s="1"/>
  <c r="D32" i="2"/>
  <c r="F62" i="1" s="1"/>
  <c r="D17" i="2"/>
  <c r="F47" i="1" s="1"/>
  <c r="D23" i="2"/>
  <c r="F53" i="1" s="1"/>
  <c r="D30" i="2"/>
  <c r="F60" i="1" s="1"/>
  <c r="D29" i="2"/>
  <c r="F59" i="1" s="1"/>
  <c r="D19" i="2"/>
  <c r="F49" i="1" s="1"/>
  <c r="D18" i="2"/>
  <c r="F48" i="1" s="1"/>
</calcChain>
</file>

<file path=xl/sharedStrings.xml><?xml version="1.0" encoding="utf-8"?>
<sst xmlns="http://schemas.openxmlformats.org/spreadsheetml/2006/main" count="386" uniqueCount="75">
  <si>
    <t>trial number</t>
  </si>
  <si>
    <t>Presence joueurs</t>
  </si>
  <si>
    <t>Calcul des moyennes de présences par paramètres</t>
  </si>
  <si>
    <t xml:space="preserve">Match dimanche ? </t>
  </si>
  <si>
    <t>oui</t>
  </si>
  <si>
    <t>Mardis</t>
  </si>
  <si>
    <t>Jeudis</t>
  </si>
  <si>
    <t>Climat, tendance générale du jour</t>
  </si>
  <si>
    <t>pluie</t>
  </si>
  <si>
    <t>beau</t>
  </si>
  <si>
    <t>trial number (situation)</t>
  </si>
  <si>
    <t>Total d'entrainements concernés</t>
  </si>
  <si>
    <t>Total de joueurs sur ces entrainements</t>
  </si>
  <si>
    <t>Moyenne de joueur/entrainement</t>
  </si>
  <si>
    <t>nombre de mardis</t>
  </si>
  <si>
    <t>nombre de jeudis</t>
  </si>
  <si>
    <t>Mardi ou jeudi ?</t>
  </si>
  <si>
    <t>non</t>
  </si>
  <si>
    <t>Presence moyenne</t>
  </si>
  <si>
    <t xml:space="preserve">Paramètres d'expériences </t>
  </si>
  <si>
    <t>Qualitatifs</t>
  </si>
  <si>
    <t>Quantitatif</t>
  </si>
  <si>
    <t>Température</t>
  </si>
  <si>
    <t>T</t>
  </si>
  <si>
    <t>Jour d'entrainement</t>
  </si>
  <si>
    <t>D</t>
  </si>
  <si>
    <t xml:space="preserve">Climat </t>
  </si>
  <si>
    <t>W</t>
  </si>
  <si>
    <t>beau temps ou pluie</t>
  </si>
  <si>
    <t>Température Extremum pendant la journée; valeur discrète simplifié à &gt;10°C ou non</t>
  </si>
  <si>
    <t>G</t>
  </si>
  <si>
    <t>Match</t>
  </si>
  <si>
    <t xml:space="preserve">Match le dimanche suivant l'entrainement oui ou non </t>
  </si>
  <si>
    <t>Description, valeurs attendues</t>
  </si>
  <si>
    <t>Symbole</t>
  </si>
  <si>
    <t>Paramètre</t>
  </si>
  <si>
    <t>Type de paramètre</t>
  </si>
  <si>
    <t>Jour d'entrainement; mardi ou jeudi</t>
  </si>
  <si>
    <t>Jour</t>
  </si>
  <si>
    <t>Climat</t>
  </si>
  <si>
    <t>Valeur mesurée</t>
  </si>
  <si>
    <t>Presence moyenne : Présence des joueurs aux entrainements. Cette valeur est moyennée en fonctions des paramètres de tests de l'expériences</t>
  </si>
  <si>
    <t>Plan Factiorel</t>
  </si>
  <si>
    <t>Présentation des data</t>
  </si>
  <si>
    <t>mardi</t>
  </si>
  <si>
    <t>jeudi</t>
  </si>
  <si>
    <t>beau temps</t>
  </si>
  <si>
    <t>&gt;10°C</t>
  </si>
  <si>
    <t>&lt;=10°C</t>
  </si>
  <si>
    <t>Codage du plan factiorel</t>
  </si>
  <si>
    <t xml:space="preserve">T </t>
  </si>
  <si>
    <t>valeur</t>
  </si>
  <si>
    <t>codage</t>
  </si>
  <si>
    <t>Analyse de variance: un facteur</t>
  </si>
  <si>
    <t>Groupes</t>
  </si>
  <si>
    <t>Nombre d'échantillons</t>
  </si>
  <si>
    <t>Somme</t>
  </si>
  <si>
    <t>Moyenne</t>
  </si>
  <si>
    <t>Variance</t>
  </si>
  <si>
    <t>ANALYSE DE VARIANCE</t>
  </si>
  <si>
    <t>Source des variations</t>
  </si>
  <si>
    <t>Somme des carrés</t>
  </si>
  <si>
    <t>Degré de liberté</t>
  </si>
  <si>
    <t>Moyenne des carrés</t>
  </si>
  <si>
    <t>F</t>
  </si>
  <si>
    <t>Probabilité</t>
  </si>
  <si>
    <t>Valeur critique pour F</t>
  </si>
  <si>
    <t>Entre Groupes</t>
  </si>
  <si>
    <t>A l'intérieur des groupes</t>
  </si>
  <si>
    <t>Total</t>
  </si>
  <si>
    <t>Comparaison paramètre par paramètre</t>
  </si>
  <si>
    <t>RAPPORT DÉTAILLÉ JOUR DE LA SEMAINE</t>
  </si>
  <si>
    <t>RAPPORT DÉTAILLÉ CLIMAT</t>
  </si>
  <si>
    <t>RAPPORT DÉTAILLÉ TEMPERATURE</t>
  </si>
  <si>
    <t>RAPPORT DÉTAILLÉ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</si>
</sst>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8">
    <xf numFmtId="0" fontId="0" fillId="0" borderId="0" xfId="0"/>
    <xf numFmtId="14" fontId="0" fillId="0" borderId="0" xfId="0" applyNumberFormat="1"/>
    <xf numFmtId="0" fontId="3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75"/>
    </xf>
    <xf numFmtId="0" fontId="2" fillId="0" borderId="0" xfId="0" applyFont="1" applyAlignment="1">
      <alignment horizontal="center" vertical="center" textRotation="75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/>
    <xf numFmtId="0" fontId="0" fillId="0" borderId="10" xfId="0" applyBorder="1"/>
    <xf numFmtId="0" fontId="7" fillId="0" borderId="11" xfId="0" applyFont="1" applyBorder="1" applyAlignment="1">
      <alignment horizontal="center"/>
    </xf>
    <xf numFmtId="0" fontId="2" fillId="3" borderId="0" xfId="0" applyFont="1" applyFill="1" applyAlignment="1">
      <alignment wrapText="1"/>
    </xf>
    <xf numFmtId="0" fontId="0" fillId="0" borderId="1" xfId="0" applyBorder="1"/>
    <xf numFmtId="0" fontId="0" fillId="6" borderId="1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 wrapText="1"/>
    </xf>
    <xf numFmtId="0" fontId="0" fillId="7" borderId="5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6" xfId="0" applyFill="1" applyBorder="1" applyAlignment="1">
      <alignment wrapText="1"/>
    </xf>
    <xf numFmtId="0" fontId="0" fillId="0" borderId="8" xfId="0" applyBorder="1"/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3" borderId="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 wrapText="1"/>
    </xf>
    <xf numFmtId="2" fontId="0" fillId="4" borderId="15" xfId="0" applyNumberFormat="1" applyFill="1" applyBorder="1"/>
    <xf numFmtId="2" fontId="0" fillId="5" borderId="15" xfId="0" applyNumberFormat="1" applyFill="1" applyBorder="1"/>
    <xf numFmtId="2" fontId="0" fillId="5" borderId="16" xfId="0" applyNumberFormat="1" applyFill="1" applyBorder="1"/>
    <xf numFmtId="2" fontId="0" fillId="4" borderId="20" xfId="0" applyNumberFormat="1" applyFill="1" applyBorder="1"/>
    <xf numFmtId="2" fontId="0" fillId="5" borderId="20" xfId="0" applyNumberFormat="1" applyFill="1" applyBorder="1"/>
    <xf numFmtId="2" fontId="0" fillId="5" borderId="21" xfId="0" applyNumberFormat="1" applyFill="1" applyBorder="1"/>
    <xf numFmtId="2" fontId="0" fillId="4" borderId="22" xfId="0" applyNumberFormat="1" applyFill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Excel Built-in Normal" xfId="2" xr:uid="{DD0A3168-D180-4C3D-8DDC-4AD5208EE084}"/>
    <cellStyle name="Lien hypertexte" xfId="1" builtinId="8"/>
    <cellStyle name="Normal" xfId="0" builtinId="0"/>
  </cellStyles>
  <dxfs count="8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2" formatCode="0.0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2" formatCode="0.0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D10A8-71C8-414B-9D76-CF8367F50FBC}" name="Tableau2" displayName="Tableau2" ref="A14:F30" totalsRowShown="0" headerRowDxfId="7">
  <autoFilter ref="A14:F30" xr:uid="{E04D10A8-71C8-414B-9D76-CF8367F50FBC}"/>
  <tableColumns count="6">
    <tableColumn id="1" xr3:uid="{D30F1EBD-FA85-4B2B-A26C-1593EE61FC29}" name="trial number"/>
    <tableColumn id="2" xr3:uid="{B129BD80-65D7-4387-B15A-355827D73DA2}" name="D"/>
    <tableColumn id="3" xr3:uid="{C3D90635-45D6-4EA8-92CA-1DB7F531035C}" name="W"/>
    <tableColumn id="4" xr3:uid="{2652E058-5B56-4D2C-8946-9161DA8E7BF2}" name="T" dataDxfId="6"/>
    <tableColumn id="5" xr3:uid="{843675AF-BCA0-4BA6-8C85-864A550DA021}" name="G"/>
    <tableColumn id="6" xr3:uid="{880754C6-997A-49BA-9D9C-0F27D0EF8C8E}" name="Presence moyenne" dataDxfId="5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714F49-D701-4B1A-88A8-D745077D0611}" name="Tableau3" displayName="Tableau3" ref="A46:F62" totalsRowShown="0" headerRowDxfId="4">
  <autoFilter ref="A46:F62" xr:uid="{33714F49-D701-4B1A-88A8-D745077D0611}"/>
  <tableColumns count="6">
    <tableColumn id="1" xr3:uid="{3BAD789B-6118-49A4-B544-4B1043DF5D2A}" name="trial number"/>
    <tableColumn id="2" xr3:uid="{04B8917F-D2C6-4D08-A3C3-0D8853FC20E9}" name="D"/>
    <tableColumn id="3" xr3:uid="{A14B6857-2090-47E2-85E0-5FCA74EC7514}" name="W"/>
    <tableColumn id="4" xr3:uid="{0C0116B0-E30E-41A0-BB80-7466134ABBEA}" name="T" dataDxfId="3"/>
    <tableColumn id="5" xr3:uid="{2B06998B-8ACE-420F-8982-E596104ED4A0}" name="G"/>
    <tableColumn id="6" xr3:uid="{1BBFE72F-8475-4E7B-BD30-8079CC0152B9}" name="Presence moyenne" dataDxfId="2">
      <calculatedColumnFormula>DATA!D17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B63F-9849-441E-A0D9-B7C9138EC412}" name="Tableau1" displayName="Tableau1" ref="B2:G18" totalsRowShown="0" headerRowDxfId="1">
  <autoFilter ref="B2:G18" xr:uid="{D416B63F-9849-441E-A0D9-B7C9138EC412}"/>
  <tableColumns count="6">
    <tableColumn id="1" xr3:uid="{EE207B6F-15E5-4806-8CAE-07604FA7C9E0}" name="trial number"/>
    <tableColumn id="2" xr3:uid="{7D23AB96-965F-4290-BE84-87EA348B9799}" name="D"/>
    <tableColumn id="3" xr3:uid="{9DB6A926-E87E-4590-9F5B-4A70DCB0EFCA}" name="W"/>
    <tableColumn id="4" xr3:uid="{BB001C02-1BB8-4A16-8D53-439C48EC311A}" name="T"/>
    <tableColumn id="5" xr3:uid="{C0F90BF7-BB97-4976-8BEA-2DB313592602}" name="G"/>
    <tableColumn id="6" xr3:uid="{396AB8E9-00B5-4495-AA0B-F6FCAD0061BE}" name="Presence moyenn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C8AF-5204-4998-91A1-7A285A529458}">
  <sheetPr>
    <pageSetUpPr fitToPage="1"/>
  </sheetPr>
  <dimension ref="A1:F62"/>
  <sheetViews>
    <sheetView topLeftCell="A41" workbookViewId="0">
      <selection activeCell="D40" sqref="D40"/>
    </sheetView>
  </sheetViews>
  <sheetFormatPr baseColWidth="10" defaultRowHeight="15" x14ac:dyDescent="0.25"/>
  <cols>
    <col min="1" max="3" width="26.5703125" customWidth="1"/>
    <col min="4" max="4" width="26.5703125" style="9" customWidth="1"/>
    <col min="5" max="6" width="26.5703125" customWidth="1"/>
  </cols>
  <sheetData>
    <row r="1" spans="1:6" ht="21" x14ac:dyDescent="0.35">
      <c r="A1" s="43" t="s">
        <v>43</v>
      </c>
      <c r="B1" s="43"/>
      <c r="C1" s="43"/>
      <c r="D1" s="43"/>
      <c r="E1" s="43"/>
      <c r="F1" s="43"/>
    </row>
    <row r="3" spans="1:6" x14ac:dyDescent="0.25">
      <c r="A3" s="6" t="s">
        <v>40</v>
      </c>
      <c r="B3" s="6" t="s">
        <v>41</v>
      </c>
    </row>
    <row r="4" spans="1:6" ht="15.75" thickBot="1" x14ac:dyDescent="0.3"/>
    <row r="5" spans="1:6" x14ac:dyDescent="0.25">
      <c r="A5" s="44" t="s">
        <v>19</v>
      </c>
      <c r="B5" s="45"/>
      <c r="C5" s="45"/>
      <c r="D5" s="46"/>
    </row>
    <row r="6" spans="1:6" ht="30" x14ac:dyDescent="0.25">
      <c r="A6" s="28" t="s">
        <v>36</v>
      </c>
      <c r="B6" s="29" t="s">
        <v>35</v>
      </c>
      <c r="C6" s="29" t="s">
        <v>34</v>
      </c>
      <c r="D6" s="30" t="s">
        <v>33</v>
      </c>
    </row>
    <row r="7" spans="1:6" ht="60" x14ac:dyDescent="0.25">
      <c r="A7" s="19" t="s">
        <v>21</v>
      </c>
      <c r="B7" s="20" t="s">
        <v>22</v>
      </c>
      <c r="C7" s="20" t="s">
        <v>23</v>
      </c>
      <c r="D7" s="21" t="s">
        <v>29</v>
      </c>
    </row>
    <row r="8" spans="1:6" ht="30" x14ac:dyDescent="0.25">
      <c r="A8" s="40" t="s">
        <v>20</v>
      </c>
      <c r="B8" s="15" t="s">
        <v>38</v>
      </c>
      <c r="C8" s="15" t="s">
        <v>25</v>
      </c>
      <c r="D8" s="16" t="s">
        <v>37</v>
      </c>
    </row>
    <row r="9" spans="1:6" x14ac:dyDescent="0.25">
      <c r="A9" s="41"/>
      <c r="B9" s="15" t="s">
        <v>26</v>
      </c>
      <c r="C9" s="15" t="s">
        <v>27</v>
      </c>
      <c r="D9" s="16" t="s">
        <v>28</v>
      </c>
    </row>
    <row r="10" spans="1:6" ht="30.75" thickBot="1" x14ac:dyDescent="0.3">
      <c r="A10" s="42"/>
      <c r="B10" s="17" t="s">
        <v>31</v>
      </c>
      <c r="C10" s="17" t="s">
        <v>30</v>
      </c>
      <c r="D10" s="18" t="s">
        <v>32</v>
      </c>
    </row>
    <row r="12" spans="1:6" ht="21" x14ac:dyDescent="0.35">
      <c r="A12" s="43" t="s">
        <v>42</v>
      </c>
      <c r="B12" s="43"/>
      <c r="C12" s="43"/>
      <c r="D12" s="43"/>
      <c r="E12" s="43"/>
      <c r="F12" s="43"/>
    </row>
    <row r="13" spans="1:6" x14ac:dyDescent="0.25">
      <c r="D13"/>
    </row>
    <row r="14" spans="1:6" x14ac:dyDescent="0.25">
      <c r="A14" s="10" t="s">
        <v>0</v>
      </c>
      <c r="B14" s="10" t="s">
        <v>25</v>
      </c>
      <c r="C14" s="10" t="s">
        <v>27</v>
      </c>
      <c r="D14" s="13" t="s">
        <v>23</v>
      </c>
      <c r="E14" s="10" t="s">
        <v>30</v>
      </c>
      <c r="F14" s="10" t="s">
        <v>18</v>
      </c>
    </row>
    <row r="15" spans="1:6" x14ac:dyDescent="0.25">
      <c r="A15">
        <v>1</v>
      </c>
      <c r="B15" t="s">
        <v>44</v>
      </c>
      <c r="C15" t="s">
        <v>46</v>
      </c>
      <c r="D15" s="9" t="s">
        <v>47</v>
      </c>
      <c r="E15" t="s">
        <v>4</v>
      </c>
      <c r="F15" s="8">
        <v>32</v>
      </c>
    </row>
    <row r="16" spans="1:6" x14ac:dyDescent="0.25">
      <c r="A16">
        <v>2</v>
      </c>
      <c r="B16" t="s">
        <v>44</v>
      </c>
      <c r="C16" t="s">
        <v>46</v>
      </c>
      <c r="D16" s="9" t="s">
        <v>47</v>
      </c>
      <c r="E16" t="s">
        <v>17</v>
      </c>
      <c r="F16" s="8">
        <v>30.2</v>
      </c>
    </row>
    <row r="17" spans="1:6" x14ac:dyDescent="0.25">
      <c r="A17">
        <v>3</v>
      </c>
      <c r="B17" t="s">
        <v>44</v>
      </c>
      <c r="C17" t="s">
        <v>46</v>
      </c>
      <c r="D17" s="9" t="s">
        <v>48</v>
      </c>
      <c r="E17" t="s">
        <v>4</v>
      </c>
      <c r="F17" s="8">
        <v>32</v>
      </c>
    </row>
    <row r="18" spans="1:6" x14ac:dyDescent="0.25">
      <c r="A18">
        <v>4</v>
      </c>
      <c r="B18" t="s">
        <v>44</v>
      </c>
      <c r="C18" t="s">
        <v>46</v>
      </c>
      <c r="D18" s="9" t="s">
        <v>48</v>
      </c>
      <c r="E18" t="s">
        <v>17</v>
      </c>
      <c r="F18" s="8">
        <v>29</v>
      </c>
    </row>
    <row r="19" spans="1:6" x14ac:dyDescent="0.25">
      <c r="A19">
        <v>5</v>
      </c>
      <c r="B19" t="s">
        <v>44</v>
      </c>
      <c r="C19" t="s">
        <v>8</v>
      </c>
      <c r="D19" s="9" t="s">
        <v>47</v>
      </c>
      <c r="E19" t="s">
        <v>4</v>
      </c>
      <c r="F19" s="8">
        <v>34</v>
      </c>
    </row>
    <row r="20" spans="1:6" x14ac:dyDescent="0.25">
      <c r="A20">
        <v>6</v>
      </c>
      <c r="B20" t="s">
        <v>44</v>
      </c>
      <c r="C20" t="s">
        <v>8</v>
      </c>
      <c r="D20" s="9" t="s">
        <v>47</v>
      </c>
      <c r="E20" t="s">
        <v>17</v>
      </c>
      <c r="F20" s="8">
        <v>19</v>
      </c>
    </row>
    <row r="21" spans="1:6" x14ac:dyDescent="0.25">
      <c r="A21">
        <v>7</v>
      </c>
      <c r="B21" t="s">
        <v>44</v>
      </c>
      <c r="C21" t="s">
        <v>8</v>
      </c>
      <c r="D21" s="9" t="s">
        <v>48</v>
      </c>
      <c r="E21" t="s">
        <v>4</v>
      </c>
      <c r="F21" s="8">
        <v>27</v>
      </c>
    </row>
    <row r="22" spans="1:6" x14ac:dyDescent="0.25">
      <c r="A22">
        <v>8</v>
      </c>
      <c r="B22" t="s">
        <v>44</v>
      </c>
      <c r="C22" t="s">
        <v>8</v>
      </c>
      <c r="D22" s="9" t="s">
        <v>48</v>
      </c>
      <c r="E22" t="s">
        <v>17</v>
      </c>
      <c r="F22" s="8">
        <v>17.5</v>
      </c>
    </row>
    <row r="23" spans="1:6" x14ac:dyDescent="0.25">
      <c r="A23">
        <v>9</v>
      </c>
      <c r="B23" t="s">
        <v>45</v>
      </c>
      <c r="C23" t="s">
        <v>46</v>
      </c>
      <c r="D23" s="9" t="s">
        <v>47</v>
      </c>
      <c r="E23" t="s">
        <v>4</v>
      </c>
      <c r="F23" s="8">
        <v>33.714285714285715</v>
      </c>
    </row>
    <row r="24" spans="1:6" x14ac:dyDescent="0.25">
      <c r="A24">
        <v>10</v>
      </c>
      <c r="B24" t="s">
        <v>45</v>
      </c>
      <c r="C24" t="s">
        <v>46</v>
      </c>
      <c r="D24" s="9" t="s">
        <v>47</v>
      </c>
      <c r="E24" t="s">
        <v>17</v>
      </c>
      <c r="F24" s="8">
        <v>29.25</v>
      </c>
    </row>
    <row r="25" spans="1:6" x14ac:dyDescent="0.25">
      <c r="A25">
        <v>11</v>
      </c>
      <c r="B25" t="s">
        <v>45</v>
      </c>
      <c r="C25" t="s">
        <v>46</v>
      </c>
      <c r="D25" s="9" t="s">
        <v>48</v>
      </c>
      <c r="E25" t="s">
        <v>4</v>
      </c>
      <c r="F25" s="8">
        <v>32</v>
      </c>
    </row>
    <row r="26" spans="1:6" x14ac:dyDescent="0.25">
      <c r="A26">
        <v>12</v>
      </c>
      <c r="B26" t="s">
        <v>45</v>
      </c>
      <c r="C26" t="s">
        <v>46</v>
      </c>
      <c r="D26" s="9" t="s">
        <v>48</v>
      </c>
      <c r="E26" t="s">
        <v>17</v>
      </c>
      <c r="F26" s="8">
        <v>28</v>
      </c>
    </row>
    <row r="27" spans="1:6" x14ac:dyDescent="0.25">
      <c r="A27">
        <v>13</v>
      </c>
      <c r="B27" t="s">
        <v>45</v>
      </c>
      <c r="C27" t="s">
        <v>8</v>
      </c>
      <c r="D27" s="9" t="s">
        <v>47</v>
      </c>
      <c r="E27" t="s">
        <v>4</v>
      </c>
      <c r="F27" s="8">
        <v>34.5</v>
      </c>
    </row>
    <row r="28" spans="1:6" x14ac:dyDescent="0.25">
      <c r="A28">
        <v>14</v>
      </c>
      <c r="B28" t="s">
        <v>45</v>
      </c>
      <c r="C28" t="s">
        <v>8</v>
      </c>
      <c r="D28" s="9" t="s">
        <v>47</v>
      </c>
      <c r="E28" t="s">
        <v>17</v>
      </c>
      <c r="F28" s="8">
        <v>31</v>
      </c>
    </row>
    <row r="29" spans="1:6" x14ac:dyDescent="0.25">
      <c r="A29">
        <v>15</v>
      </c>
      <c r="B29" t="s">
        <v>45</v>
      </c>
      <c r="C29" t="s">
        <v>8</v>
      </c>
      <c r="D29" s="9" t="s">
        <v>48</v>
      </c>
      <c r="E29" t="s">
        <v>4</v>
      </c>
      <c r="F29" s="8">
        <v>30.75</v>
      </c>
    </row>
    <row r="30" spans="1:6" x14ac:dyDescent="0.25">
      <c r="A30">
        <v>16</v>
      </c>
      <c r="B30" t="s">
        <v>45</v>
      </c>
      <c r="C30" t="s">
        <v>8</v>
      </c>
      <c r="D30" s="9" t="s">
        <v>48</v>
      </c>
      <c r="E30" t="s">
        <v>17</v>
      </c>
      <c r="F30" s="8">
        <v>29</v>
      </c>
    </row>
    <row r="34" spans="1:6" ht="21" x14ac:dyDescent="0.35">
      <c r="A34" s="43" t="s">
        <v>49</v>
      </c>
      <c r="B34" s="43"/>
      <c r="C34" s="43"/>
      <c r="D34" s="43"/>
      <c r="E34" s="43"/>
      <c r="F34" s="43"/>
    </row>
    <row r="35" spans="1:6" ht="15.75" thickBot="1" x14ac:dyDescent="0.3"/>
    <row r="36" spans="1:6" x14ac:dyDescent="0.25">
      <c r="A36" s="25" t="s">
        <v>35</v>
      </c>
      <c r="B36" s="26" t="s">
        <v>51</v>
      </c>
      <c r="C36" s="27" t="s">
        <v>52</v>
      </c>
    </row>
    <row r="37" spans="1:6" x14ac:dyDescent="0.25">
      <c r="A37" s="38" t="s">
        <v>50</v>
      </c>
      <c r="B37" s="14" t="s">
        <v>47</v>
      </c>
      <c r="C37" s="23">
        <v>1</v>
      </c>
    </row>
    <row r="38" spans="1:6" x14ac:dyDescent="0.25">
      <c r="A38" s="38"/>
      <c r="B38" s="14" t="s">
        <v>48</v>
      </c>
      <c r="C38" s="23">
        <v>-1</v>
      </c>
    </row>
    <row r="39" spans="1:6" x14ac:dyDescent="0.25">
      <c r="A39" s="38" t="s">
        <v>25</v>
      </c>
      <c r="B39" s="14" t="s">
        <v>44</v>
      </c>
      <c r="C39" s="23">
        <v>1</v>
      </c>
    </row>
    <row r="40" spans="1:6" x14ac:dyDescent="0.25">
      <c r="A40" s="38"/>
      <c r="B40" s="14" t="s">
        <v>45</v>
      </c>
      <c r="C40" s="23">
        <v>-1</v>
      </c>
    </row>
    <row r="41" spans="1:6" x14ac:dyDescent="0.25">
      <c r="A41" s="38" t="s">
        <v>27</v>
      </c>
      <c r="B41" s="14" t="s">
        <v>46</v>
      </c>
      <c r="C41" s="23">
        <v>1</v>
      </c>
    </row>
    <row r="42" spans="1:6" x14ac:dyDescent="0.25">
      <c r="A42" s="38"/>
      <c r="B42" s="14" t="s">
        <v>8</v>
      </c>
      <c r="C42" s="23">
        <v>-1</v>
      </c>
    </row>
    <row r="43" spans="1:6" x14ac:dyDescent="0.25">
      <c r="A43" s="38" t="s">
        <v>30</v>
      </c>
      <c r="B43" s="14" t="s">
        <v>4</v>
      </c>
      <c r="C43" s="23">
        <v>1</v>
      </c>
    </row>
    <row r="44" spans="1:6" ht="15.75" thickBot="1" x14ac:dyDescent="0.3">
      <c r="A44" s="39"/>
      <c r="B44" s="22" t="s">
        <v>17</v>
      </c>
      <c r="C44" s="24">
        <v>-1</v>
      </c>
    </row>
    <row r="46" spans="1:6" x14ac:dyDescent="0.25">
      <c r="A46" s="10" t="s">
        <v>0</v>
      </c>
      <c r="B46" s="10" t="s">
        <v>25</v>
      </c>
      <c r="C46" s="10" t="s">
        <v>27</v>
      </c>
      <c r="D46" s="13" t="s">
        <v>23</v>
      </c>
      <c r="E46" s="10" t="s">
        <v>30</v>
      </c>
      <c r="F46" s="10" t="s">
        <v>18</v>
      </c>
    </row>
    <row r="47" spans="1:6" x14ac:dyDescent="0.25">
      <c r="A47">
        <v>1</v>
      </c>
      <c r="B47">
        <v>1</v>
      </c>
      <c r="C47">
        <v>1</v>
      </c>
      <c r="D47" s="9">
        <v>1</v>
      </c>
      <c r="E47">
        <v>1</v>
      </c>
      <c r="F47" s="8">
        <f>DATA!D17</f>
        <v>32</v>
      </c>
    </row>
    <row r="48" spans="1:6" x14ac:dyDescent="0.25">
      <c r="A48">
        <v>2</v>
      </c>
      <c r="B48">
        <v>1</v>
      </c>
      <c r="C48">
        <v>1</v>
      </c>
      <c r="D48" s="9">
        <v>1</v>
      </c>
      <c r="E48">
        <v>-1</v>
      </c>
      <c r="F48" s="8">
        <f>DATA!D18</f>
        <v>30.2</v>
      </c>
    </row>
    <row r="49" spans="1:6" x14ac:dyDescent="0.25">
      <c r="A49">
        <v>3</v>
      </c>
      <c r="B49">
        <v>1</v>
      </c>
      <c r="C49">
        <v>1</v>
      </c>
      <c r="D49" s="9">
        <v>-1</v>
      </c>
      <c r="E49">
        <v>1</v>
      </c>
      <c r="F49" s="8">
        <f>DATA!D19</f>
        <v>32</v>
      </c>
    </row>
    <row r="50" spans="1:6" x14ac:dyDescent="0.25">
      <c r="A50">
        <v>4</v>
      </c>
      <c r="B50">
        <v>1</v>
      </c>
      <c r="C50">
        <v>1</v>
      </c>
      <c r="D50" s="9">
        <v>-1</v>
      </c>
      <c r="E50">
        <v>-1</v>
      </c>
      <c r="F50" s="8">
        <f>DATA!D20</f>
        <v>29</v>
      </c>
    </row>
    <row r="51" spans="1:6" x14ac:dyDescent="0.25">
      <c r="A51">
        <v>5</v>
      </c>
      <c r="B51">
        <v>1</v>
      </c>
      <c r="C51">
        <v>-1</v>
      </c>
      <c r="D51" s="9">
        <v>1</v>
      </c>
      <c r="E51">
        <v>1</v>
      </c>
      <c r="F51" s="8">
        <f>DATA!D21</f>
        <v>34</v>
      </c>
    </row>
    <row r="52" spans="1:6" x14ac:dyDescent="0.25">
      <c r="A52">
        <v>6</v>
      </c>
      <c r="B52">
        <v>1</v>
      </c>
      <c r="C52">
        <v>-1</v>
      </c>
      <c r="D52" s="9">
        <v>1</v>
      </c>
      <c r="E52">
        <v>-1</v>
      </c>
      <c r="F52" s="8">
        <f>DATA!D22</f>
        <v>19</v>
      </c>
    </row>
    <row r="53" spans="1:6" x14ac:dyDescent="0.25">
      <c r="A53">
        <v>7</v>
      </c>
      <c r="B53">
        <v>1</v>
      </c>
      <c r="C53">
        <v>-1</v>
      </c>
      <c r="D53" s="9">
        <v>-1</v>
      </c>
      <c r="E53">
        <v>1</v>
      </c>
      <c r="F53" s="8">
        <f>DATA!D23</f>
        <v>27</v>
      </c>
    </row>
    <row r="54" spans="1:6" x14ac:dyDescent="0.25">
      <c r="A54">
        <v>8</v>
      </c>
      <c r="B54">
        <v>1</v>
      </c>
      <c r="C54">
        <v>-1</v>
      </c>
      <c r="D54" s="9">
        <v>-1</v>
      </c>
      <c r="E54">
        <v>-1</v>
      </c>
      <c r="F54" s="8">
        <f>DATA!D24</f>
        <v>17.5</v>
      </c>
    </row>
    <row r="55" spans="1:6" x14ac:dyDescent="0.25">
      <c r="A55">
        <v>9</v>
      </c>
      <c r="B55">
        <v>-1</v>
      </c>
      <c r="C55">
        <v>1</v>
      </c>
      <c r="D55" s="9">
        <v>1</v>
      </c>
      <c r="E55">
        <v>1</v>
      </c>
      <c r="F55" s="8">
        <f>DATA!D25</f>
        <v>33.714285714285715</v>
      </c>
    </row>
    <row r="56" spans="1:6" x14ac:dyDescent="0.25">
      <c r="A56">
        <v>10</v>
      </c>
      <c r="B56">
        <v>-1</v>
      </c>
      <c r="C56">
        <v>1</v>
      </c>
      <c r="D56" s="9">
        <v>1</v>
      </c>
      <c r="E56">
        <v>-1</v>
      </c>
      <c r="F56" s="8">
        <f>DATA!D26</f>
        <v>29.25</v>
      </c>
    </row>
    <row r="57" spans="1:6" x14ac:dyDescent="0.25">
      <c r="A57">
        <v>11</v>
      </c>
      <c r="B57">
        <v>-1</v>
      </c>
      <c r="C57">
        <v>1</v>
      </c>
      <c r="D57" s="9">
        <v>-1</v>
      </c>
      <c r="E57">
        <v>1</v>
      </c>
      <c r="F57" s="8">
        <f>DATA!D27</f>
        <v>32</v>
      </c>
    </row>
    <row r="58" spans="1:6" x14ac:dyDescent="0.25">
      <c r="A58">
        <v>12</v>
      </c>
      <c r="B58">
        <v>-1</v>
      </c>
      <c r="C58">
        <v>1</v>
      </c>
      <c r="D58" s="9">
        <v>-1</v>
      </c>
      <c r="E58">
        <v>-1</v>
      </c>
      <c r="F58" s="8">
        <f>DATA!D28</f>
        <v>28</v>
      </c>
    </row>
    <row r="59" spans="1:6" x14ac:dyDescent="0.25">
      <c r="A59">
        <v>13</v>
      </c>
      <c r="B59">
        <v>-1</v>
      </c>
      <c r="C59">
        <v>-1</v>
      </c>
      <c r="D59" s="9">
        <v>1</v>
      </c>
      <c r="E59">
        <v>1</v>
      </c>
      <c r="F59" s="8">
        <f>DATA!D29</f>
        <v>34.5</v>
      </c>
    </row>
    <row r="60" spans="1:6" x14ac:dyDescent="0.25">
      <c r="A60">
        <v>14</v>
      </c>
      <c r="B60">
        <v>-1</v>
      </c>
      <c r="C60">
        <v>-1</v>
      </c>
      <c r="D60" s="9">
        <v>1</v>
      </c>
      <c r="E60">
        <v>-1</v>
      </c>
      <c r="F60" s="8">
        <f>DATA!D30</f>
        <v>31</v>
      </c>
    </row>
    <row r="61" spans="1:6" x14ac:dyDescent="0.25">
      <c r="A61">
        <v>15</v>
      </c>
      <c r="B61">
        <v>-1</v>
      </c>
      <c r="C61">
        <v>-1</v>
      </c>
      <c r="D61" s="9">
        <v>-1</v>
      </c>
      <c r="E61">
        <v>1</v>
      </c>
      <c r="F61" s="8">
        <f>DATA!D31</f>
        <v>30.75</v>
      </c>
    </row>
    <row r="62" spans="1:6" x14ac:dyDescent="0.25">
      <c r="A62">
        <v>16</v>
      </c>
      <c r="B62">
        <v>-1</v>
      </c>
      <c r="C62">
        <v>-1</v>
      </c>
      <c r="D62" s="9">
        <v>-1</v>
      </c>
      <c r="E62">
        <v>-1</v>
      </c>
      <c r="F62" s="8">
        <f>DATA!D32</f>
        <v>29</v>
      </c>
    </row>
  </sheetData>
  <mergeCells count="9">
    <mergeCell ref="A39:A40"/>
    <mergeCell ref="A41:A42"/>
    <mergeCell ref="A43:A44"/>
    <mergeCell ref="A8:A10"/>
    <mergeCell ref="A1:F1"/>
    <mergeCell ref="A12:F12"/>
    <mergeCell ref="A34:F34"/>
    <mergeCell ref="A5:D5"/>
    <mergeCell ref="A37:A38"/>
  </mergeCells>
  <phoneticPr fontId="6" type="noConversion"/>
  <pageMargins left="0.7" right="0.7" top="0.75" bottom="0.75" header="0.3" footer="0.3"/>
  <pageSetup paperSize="9" scale="54" fitToHeight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24A1-EEA2-4A6E-BC94-DE01DDF1FB20}">
  <dimension ref="A1:AV32"/>
  <sheetViews>
    <sheetView workbookViewId="0">
      <selection activeCell="A11" sqref="A11"/>
    </sheetView>
  </sheetViews>
  <sheetFormatPr baseColWidth="10" defaultRowHeight="15" x14ac:dyDescent="0.25"/>
  <cols>
    <col min="1" max="1" width="46.42578125" bestFit="1" customWidth="1"/>
  </cols>
  <sheetData>
    <row r="1" spans="1:48" x14ac:dyDescent="0.25">
      <c r="A1" t="s">
        <v>5</v>
      </c>
      <c r="B1" s="1">
        <v>45888</v>
      </c>
      <c r="D1" s="1">
        <v>45895</v>
      </c>
      <c r="F1" s="1">
        <v>45902</v>
      </c>
      <c r="G1" s="1">
        <v>45909</v>
      </c>
      <c r="I1" s="1">
        <v>45916</v>
      </c>
      <c r="K1" s="1">
        <v>45923</v>
      </c>
      <c r="L1" s="1"/>
      <c r="M1" s="1">
        <v>45930</v>
      </c>
      <c r="N1" s="1"/>
      <c r="O1" s="1">
        <v>45937</v>
      </c>
      <c r="P1" s="1"/>
      <c r="Q1" s="1">
        <v>45944</v>
      </c>
      <c r="R1" s="1"/>
      <c r="S1" s="1">
        <v>45951</v>
      </c>
      <c r="T1" s="1"/>
      <c r="U1" s="1">
        <v>45958</v>
      </c>
      <c r="V1" s="1">
        <v>45965</v>
      </c>
      <c r="W1" s="1"/>
      <c r="X1" s="1">
        <v>45972</v>
      </c>
      <c r="Y1" s="1"/>
      <c r="Z1" s="1">
        <v>45979</v>
      </c>
      <c r="AA1" s="1"/>
      <c r="AB1" s="1">
        <v>45986</v>
      </c>
      <c r="AC1" s="1"/>
      <c r="AD1" s="1">
        <v>45993</v>
      </c>
      <c r="AE1" s="1"/>
      <c r="AF1" s="1">
        <v>46000</v>
      </c>
      <c r="AG1" s="1"/>
      <c r="AH1" s="1">
        <v>46021</v>
      </c>
      <c r="AI1" s="1">
        <v>46028</v>
      </c>
      <c r="AJ1" s="1"/>
      <c r="AK1" s="1">
        <v>46035</v>
      </c>
      <c r="AL1" s="1"/>
      <c r="AM1" s="1">
        <v>46042</v>
      </c>
      <c r="AN1" s="1"/>
      <c r="AO1" s="1">
        <v>46049</v>
      </c>
      <c r="AP1" s="1"/>
      <c r="AQ1" s="1">
        <v>46056</v>
      </c>
      <c r="AR1" s="1"/>
      <c r="AS1" s="1">
        <v>46063</v>
      </c>
      <c r="AT1" s="1"/>
      <c r="AU1" s="1">
        <v>46070</v>
      </c>
      <c r="AV1" s="1"/>
    </row>
    <row r="2" spans="1:48" x14ac:dyDescent="0.25">
      <c r="A2" t="s">
        <v>6</v>
      </c>
      <c r="C2" s="1">
        <v>45890</v>
      </c>
      <c r="E2" s="1">
        <v>45897</v>
      </c>
      <c r="F2" s="1"/>
      <c r="H2" s="1">
        <v>45911</v>
      </c>
      <c r="J2" s="1">
        <v>45918</v>
      </c>
      <c r="L2" s="1">
        <v>45925</v>
      </c>
      <c r="N2" s="1">
        <v>45932</v>
      </c>
      <c r="P2" s="1">
        <v>45939</v>
      </c>
      <c r="R2" s="1">
        <v>45946</v>
      </c>
      <c r="T2" s="1">
        <v>45953</v>
      </c>
      <c r="U2" s="1"/>
      <c r="W2" s="1">
        <v>45967</v>
      </c>
      <c r="Y2" s="1">
        <v>45974</v>
      </c>
      <c r="AA2" s="1">
        <v>45981</v>
      </c>
      <c r="AC2" s="1">
        <v>45988</v>
      </c>
      <c r="AE2" s="1">
        <v>45995</v>
      </c>
      <c r="AG2" s="1">
        <v>46002</v>
      </c>
      <c r="AJ2" s="1">
        <v>46030</v>
      </c>
      <c r="AL2" s="1">
        <v>46037</v>
      </c>
      <c r="AN2" s="1">
        <v>46044</v>
      </c>
      <c r="AP2" s="1">
        <v>46051</v>
      </c>
      <c r="AR2" s="1">
        <v>46058</v>
      </c>
      <c r="AT2" s="1">
        <v>46065</v>
      </c>
      <c r="AV2" s="1">
        <v>46072</v>
      </c>
    </row>
    <row r="3" spans="1:48" x14ac:dyDescent="0.25">
      <c r="A3" t="s">
        <v>16</v>
      </c>
      <c r="B3" t="str">
        <f>IF(COUNTA(B1)&gt;0,"mardi","jeudi")</f>
        <v>mardi</v>
      </c>
      <c r="C3" t="str">
        <f t="shared" ref="C3:AV3" si="0">IF(COUNTA(C1)&gt;0,"mardi","jeudi")</f>
        <v>jeudi</v>
      </c>
      <c r="D3" t="str">
        <f t="shared" si="0"/>
        <v>mardi</v>
      </c>
      <c r="E3" t="str">
        <f t="shared" si="0"/>
        <v>jeudi</v>
      </c>
      <c r="F3" t="str">
        <f t="shared" si="0"/>
        <v>mardi</v>
      </c>
      <c r="G3" t="str">
        <f t="shared" si="0"/>
        <v>mardi</v>
      </c>
      <c r="H3" t="str">
        <f t="shared" si="0"/>
        <v>jeudi</v>
      </c>
      <c r="I3" t="str">
        <f t="shared" si="0"/>
        <v>mardi</v>
      </c>
      <c r="J3" t="str">
        <f t="shared" si="0"/>
        <v>jeudi</v>
      </c>
      <c r="K3" t="str">
        <f t="shared" si="0"/>
        <v>mardi</v>
      </c>
      <c r="L3" t="str">
        <f t="shared" si="0"/>
        <v>jeudi</v>
      </c>
      <c r="M3" t="str">
        <f t="shared" si="0"/>
        <v>mardi</v>
      </c>
      <c r="N3" t="str">
        <f t="shared" si="0"/>
        <v>jeudi</v>
      </c>
      <c r="O3" t="str">
        <f t="shared" si="0"/>
        <v>mardi</v>
      </c>
      <c r="P3" t="str">
        <f t="shared" si="0"/>
        <v>jeudi</v>
      </c>
      <c r="Q3" t="str">
        <f t="shared" si="0"/>
        <v>mardi</v>
      </c>
      <c r="R3" t="str">
        <f t="shared" si="0"/>
        <v>jeudi</v>
      </c>
      <c r="S3" t="str">
        <f t="shared" si="0"/>
        <v>mardi</v>
      </c>
      <c r="T3" t="str">
        <f t="shared" si="0"/>
        <v>jeudi</v>
      </c>
      <c r="U3" t="str">
        <f t="shared" si="0"/>
        <v>mardi</v>
      </c>
      <c r="V3" t="str">
        <f t="shared" si="0"/>
        <v>mardi</v>
      </c>
      <c r="W3" t="str">
        <f t="shared" si="0"/>
        <v>jeudi</v>
      </c>
      <c r="X3" t="str">
        <f t="shared" si="0"/>
        <v>mardi</v>
      </c>
      <c r="Y3" t="str">
        <f t="shared" si="0"/>
        <v>jeudi</v>
      </c>
      <c r="Z3" t="str">
        <f t="shared" si="0"/>
        <v>mardi</v>
      </c>
      <c r="AA3" t="str">
        <f t="shared" si="0"/>
        <v>jeudi</v>
      </c>
      <c r="AB3" t="str">
        <f t="shared" si="0"/>
        <v>mardi</v>
      </c>
      <c r="AC3" t="str">
        <f t="shared" si="0"/>
        <v>jeudi</v>
      </c>
      <c r="AD3" t="str">
        <f t="shared" si="0"/>
        <v>mardi</v>
      </c>
      <c r="AE3" t="str">
        <f t="shared" si="0"/>
        <v>jeudi</v>
      </c>
      <c r="AF3" t="str">
        <f t="shared" si="0"/>
        <v>mardi</v>
      </c>
      <c r="AG3" t="str">
        <f t="shared" si="0"/>
        <v>jeudi</v>
      </c>
      <c r="AH3" t="str">
        <f t="shared" si="0"/>
        <v>mardi</v>
      </c>
      <c r="AI3" t="str">
        <f t="shared" si="0"/>
        <v>mardi</v>
      </c>
      <c r="AJ3" t="str">
        <f t="shared" si="0"/>
        <v>jeudi</v>
      </c>
      <c r="AK3" t="str">
        <f t="shared" si="0"/>
        <v>mardi</v>
      </c>
      <c r="AL3" t="str">
        <f t="shared" si="0"/>
        <v>jeudi</v>
      </c>
      <c r="AM3" t="str">
        <f t="shared" si="0"/>
        <v>mardi</v>
      </c>
      <c r="AN3" t="str">
        <f t="shared" si="0"/>
        <v>jeudi</v>
      </c>
      <c r="AO3" t="str">
        <f t="shared" si="0"/>
        <v>mardi</v>
      </c>
      <c r="AP3" t="str">
        <f t="shared" si="0"/>
        <v>jeudi</v>
      </c>
      <c r="AQ3" t="str">
        <f t="shared" si="0"/>
        <v>mardi</v>
      </c>
      <c r="AR3" t="str">
        <f t="shared" si="0"/>
        <v>jeudi</v>
      </c>
      <c r="AS3" t="str">
        <f t="shared" si="0"/>
        <v>mardi</v>
      </c>
      <c r="AT3" t="str">
        <f t="shared" si="0"/>
        <v>jeudi</v>
      </c>
      <c r="AU3" t="str">
        <f t="shared" si="0"/>
        <v>mardi</v>
      </c>
      <c r="AV3" t="str">
        <f t="shared" si="0"/>
        <v>jeudi</v>
      </c>
    </row>
    <row r="4" spans="1:48" x14ac:dyDescent="0.25">
      <c r="A4" t="s">
        <v>22</v>
      </c>
      <c r="B4">
        <v>26</v>
      </c>
      <c r="C4">
        <v>22</v>
      </c>
      <c r="D4">
        <v>33</v>
      </c>
      <c r="E4">
        <v>24</v>
      </c>
      <c r="F4">
        <v>23</v>
      </c>
      <c r="G4">
        <v>22</v>
      </c>
      <c r="H4">
        <v>22</v>
      </c>
      <c r="I4">
        <v>19</v>
      </c>
      <c r="J4">
        <v>28</v>
      </c>
      <c r="K4">
        <v>8</v>
      </c>
      <c r="L4">
        <v>14</v>
      </c>
      <c r="M4">
        <v>14</v>
      </c>
      <c r="N4">
        <v>16</v>
      </c>
      <c r="O4">
        <v>18</v>
      </c>
      <c r="P4">
        <v>15</v>
      </c>
      <c r="Q4">
        <v>15</v>
      </c>
      <c r="R4">
        <v>15</v>
      </c>
      <c r="S4">
        <v>16</v>
      </c>
      <c r="T4">
        <v>16</v>
      </c>
      <c r="U4">
        <v>6</v>
      </c>
      <c r="V4">
        <v>17</v>
      </c>
      <c r="W4">
        <v>17</v>
      </c>
      <c r="X4">
        <v>15</v>
      </c>
      <c r="Y4">
        <v>18</v>
      </c>
      <c r="Z4">
        <v>4</v>
      </c>
      <c r="AA4">
        <v>5</v>
      </c>
      <c r="AB4">
        <v>6</v>
      </c>
      <c r="AC4">
        <v>5</v>
      </c>
      <c r="AD4">
        <v>7</v>
      </c>
      <c r="AE4">
        <v>8</v>
      </c>
      <c r="AF4">
        <v>14</v>
      </c>
      <c r="AG4">
        <v>12</v>
      </c>
      <c r="AH4">
        <v>-3</v>
      </c>
      <c r="AI4">
        <v>-8</v>
      </c>
      <c r="AJ4">
        <v>0</v>
      </c>
      <c r="AK4">
        <v>15</v>
      </c>
      <c r="AL4">
        <v>13</v>
      </c>
      <c r="AM4">
        <v>7</v>
      </c>
      <c r="AN4">
        <v>8</v>
      </c>
      <c r="AO4">
        <v>5</v>
      </c>
      <c r="AP4">
        <v>9</v>
      </c>
      <c r="AQ4">
        <v>9</v>
      </c>
      <c r="AR4">
        <v>11</v>
      </c>
      <c r="AS4">
        <v>11</v>
      </c>
      <c r="AT4">
        <v>10</v>
      </c>
      <c r="AU4">
        <v>9</v>
      </c>
      <c r="AV4">
        <v>9</v>
      </c>
    </row>
    <row r="5" spans="1:48" x14ac:dyDescent="0.25">
      <c r="A5" t="s">
        <v>7</v>
      </c>
      <c r="B5" t="s">
        <v>8</v>
      </c>
      <c r="C5" t="s">
        <v>9</v>
      </c>
      <c r="D5" t="s">
        <v>9</v>
      </c>
      <c r="E5" t="s">
        <v>8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8</v>
      </c>
      <c r="T5" t="s">
        <v>8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8</v>
      </c>
      <c r="AB5" t="s">
        <v>8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8</v>
      </c>
      <c r="AI5" t="s">
        <v>9</v>
      </c>
      <c r="AJ5" t="s">
        <v>8</v>
      </c>
      <c r="AK5" t="s">
        <v>9</v>
      </c>
      <c r="AL5" t="s">
        <v>9</v>
      </c>
      <c r="AM5" t="s">
        <v>9</v>
      </c>
      <c r="AN5" t="s">
        <v>8</v>
      </c>
      <c r="AO5" t="s">
        <v>8</v>
      </c>
      <c r="AP5" t="s">
        <v>8</v>
      </c>
      <c r="AQ5" t="s">
        <v>8</v>
      </c>
      <c r="AR5" t="s">
        <v>8</v>
      </c>
      <c r="AS5" t="s">
        <v>8</v>
      </c>
      <c r="AT5" t="s">
        <v>8</v>
      </c>
      <c r="AU5" t="s">
        <v>8</v>
      </c>
      <c r="AV5" t="s">
        <v>8</v>
      </c>
    </row>
    <row r="8" spans="1:48" x14ac:dyDescent="0.25">
      <c r="A8" t="s">
        <v>3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17</v>
      </c>
      <c r="P8" t="s">
        <v>17</v>
      </c>
      <c r="Q8" t="s">
        <v>4</v>
      </c>
      <c r="R8" t="s">
        <v>4</v>
      </c>
      <c r="S8" t="s">
        <v>4</v>
      </c>
      <c r="T8" t="s">
        <v>4</v>
      </c>
      <c r="U8" t="s">
        <v>17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17</v>
      </c>
      <c r="AC8" t="s">
        <v>17</v>
      </c>
      <c r="AD8" t="s">
        <v>4</v>
      </c>
      <c r="AE8" t="s">
        <v>4</v>
      </c>
      <c r="AF8" t="s">
        <v>4</v>
      </c>
      <c r="AG8" t="s">
        <v>4</v>
      </c>
      <c r="AH8" t="s">
        <v>17</v>
      </c>
      <c r="AI8" t="s">
        <v>17</v>
      </c>
      <c r="AJ8" t="s">
        <v>17</v>
      </c>
      <c r="AK8" t="s">
        <v>17</v>
      </c>
      <c r="AL8" t="s">
        <v>17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17</v>
      </c>
      <c r="AT8" t="s">
        <v>17</v>
      </c>
      <c r="AU8" t="s">
        <v>4</v>
      </c>
      <c r="AV8" t="s">
        <v>4</v>
      </c>
    </row>
    <row r="9" spans="1:48" x14ac:dyDescent="0.25">
      <c r="A9" s="2"/>
    </row>
    <row r="11" spans="1:48" x14ac:dyDescent="0.25">
      <c r="A11" t="s">
        <v>1</v>
      </c>
      <c r="B11">
        <v>20</v>
      </c>
      <c r="C11">
        <v>23</v>
      </c>
      <c r="D11">
        <v>26</v>
      </c>
      <c r="E11">
        <v>31</v>
      </c>
      <c r="F11">
        <v>32</v>
      </c>
      <c r="G11">
        <v>32</v>
      </c>
      <c r="H11">
        <v>36</v>
      </c>
      <c r="I11">
        <v>38</v>
      </c>
      <c r="J11">
        <v>38</v>
      </c>
      <c r="K11">
        <v>31</v>
      </c>
      <c r="L11">
        <v>31</v>
      </c>
      <c r="M11">
        <v>33</v>
      </c>
      <c r="N11">
        <v>33</v>
      </c>
      <c r="O11">
        <v>29</v>
      </c>
      <c r="P11">
        <v>27</v>
      </c>
      <c r="Q11">
        <v>34</v>
      </c>
      <c r="R11">
        <v>37</v>
      </c>
      <c r="S11">
        <v>34</v>
      </c>
      <c r="T11">
        <v>39</v>
      </c>
      <c r="U11">
        <v>28</v>
      </c>
      <c r="V11">
        <v>31</v>
      </c>
      <c r="W11">
        <v>34</v>
      </c>
      <c r="X11">
        <v>30</v>
      </c>
      <c r="Y11">
        <v>35</v>
      </c>
      <c r="Z11">
        <v>32</v>
      </c>
      <c r="AA11">
        <v>33</v>
      </c>
      <c r="AB11">
        <v>21</v>
      </c>
      <c r="AC11">
        <v>28</v>
      </c>
      <c r="AD11">
        <v>34</v>
      </c>
      <c r="AE11">
        <v>32</v>
      </c>
      <c r="AF11">
        <v>26</v>
      </c>
      <c r="AG11">
        <v>28</v>
      </c>
      <c r="AH11">
        <v>14</v>
      </c>
      <c r="AI11">
        <v>30</v>
      </c>
      <c r="AJ11">
        <v>29</v>
      </c>
      <c r="AK11">
        <v>32</v>
      </c>
      <c r="AL11">
        <v>31</v>
      </c>
      <c r="AM11">
        <v>31</v>
      </c>
      <c r="AN11">
        <v>33</v>
      </c>
      <c r="AO11">
        <v>28</v>
      </c>
      <c r="AP11">
        <v>29</v>
      </c>
      <c r="AQ11">
        <v>31</v>
      </c>
      <c r="AR11">
        <v>30</v>
      </c>
      <c r="AS11">
        <v>18</v>
      </c>
      <c r="AT11">
        <v>29</v>
      </c>
      <c r="AU11">
        <v>22</v>
      </c>
      <c r="AV11">
        <v>28</v>
      </c>
    </row>
    <row r="13" spans="1:48" x14ac:dyDescent="0.25">
      <c r="A13" t="s">
        <v>14</v>
      </c>
      <c r="B13">
        <f>COUNTA(Mardis)</f>
        <v>25</v>
      </c>
    </row>
    <row r="14" spans="1:48" x14ac:dyDescent="0.25">
      <c r="A14" t="s">
        <v>15</v>
      </c>
      <c r="B14">
        <f>COUNTA(Jeudis)</f>
        <v>22</v>
      </c>
    </row>
    <row r="15" spans="1:48" x14ac:dyDescent="0.25">
      <c r="A15" s="47" t="s">
        <v>2</v>
      </c>
      <c r="B15" s="47"/>
      <c r="C15" s="47"/>
      <c r="D15" s="47"/>
    </row>
    <row r="16" spans="1:48" ht="180" x14ac:dyDescent="0.25">
      <c r="A16" t="s">
        <v>10</v>
      </c>
      <c r="B16" s="4" t="s">
        <v>11</v>
      </c>
      <c r="C16" s="4" t="s">
        <v>12</v>
      </c>
      <c r="D16" s="5" t="s">
        <v>13</v>
      </c>
      <c r="E16" s="3"/>
    </row>
    <row r="17" spans="1:4" x14ac:dyDescent="0.25">
      <c r="A17">
        <v>1</v>
      </c>
      <c r="B17">
        <f>COUNTIFS(mardi_jeudi,"=mardi",climat,"=beau",temp,"&gt;10",match,"=oui")</f>
        <v>6</v>
      </c>
      <c r="C17">
        <f>SUMIFS(joueurs,mardi_jeudi,"=mardi",climat,"=beau",temp,"&gt;10",match,"=oui")</f>
        <v>192</v>
      </c>
      <c r="D17" s="7">
        <f>C17/B17</f>
        <v>32</v>
      </c>
    </row>
    <row r="18" spans="1:4" x14ac:dyDescent="0.25">
      <c r="A18">
        <v>2</v>
      </c>
      <c r="B18">
        <f>COUNTIFS(mardi_jeudi,"=mardi",climat,"=beau",temp,"&gt;10",match,"=non")</f>
        <v>5</v>
      </c>
      <c r="C18">
        <f>SUMIFS(joueurs,mardi_jeudi,"=mardi",climat,"=beau",temp,"&gt;10",match,"=non")</f>
        <v>151</v>
      </c>
      <c r="D18" s="7">
        <f t="shared" ref="D18:D32" si="1">C18/B18</f>
        <v>30.2</v>
      </c>
    </row>
    <row r="19" spans="1:4" x14ac:dyDescent="0.25">
      <c r="A19">
        <v>3</v>
      </c>
      <c r="B19">
        <f>COUNTIFS(mardi_jeudi,"=mardi",climat,"=beau",temp,"&lt;=10",match,"=oui")</f>
        <v>4</v>
      </c>
      <c r="C19">
        <f>SUMIFS(joueurs,mardi_jeudi,"=mardi",climat,"=beau",temp,"&lt;=10",match,"=oui")</f>
        <v>128</v>
      </c>
      <c r="D19" s="7">
        <f t="shared" si="1"/>
        <v>32</v>
      </c>
    </row>
    <row r="20" spans="1:4" x14ac:dyDescent="0.25">
      <c r="A20">
        <v>4</v>
      </c>
      <c r="B20">
        <f>COUNTIFS(mardi_jeudi,"=mardi",climat,"=beau",temp,"&lt;=10",match,"=non")</f>
        <v>2</v>
      </c>
      <c r="C20">
        <f>SUMIFS(joueurs,mardi_jeudi,"=mardi",climat,"=beau",temp,"&lt;=10",match,"=non")</f>
        <v>58</v>
      </c>
      <c r="D20" s="7">
        <f t="shared" si="1"/>
        <v>29</v>
      </c>
    </row>
    <row r="21" spans="1:4" x14ac:dyDescent="0.25">
      <c r="A21">
        <v>5</v>
      </c>
      <c r="B21">
        <f>COUNTIFS(mardi_jeudi,"=mardi",climat,"=pluie",temp,"&gt;10",match,"=oui")</f>
        <v>1</v>
      </c>
      <c r="C21">
        <f>SUMIFS(joueurs,mardi_jeudi,"=mardi",climat,"=pluie",temp,"&gt;10",match,"=oui")</f>
        <v>34</v>
      </c>
      <c r="D21" s="7">
        <f t="shared" si="1"/>
        <v>34</v>
      </c>
    </row>
    <row r="22" spans="1:4" x14ac:dyDescent="0.25">
      <c r="A22">
        <v>6</v>
      </c>
      <c r="B22">
        <f>COUNTIFS(mardi_jeudi,"=mardi",climat,"=pluie",temp,"&gt;10",match,"=non")</f>
        <v>2</v>
      </c>
      <c r="C22">
        <f>SUMIFS(joueurs,mardi_jeudi,"=mardi",climat,"=pluie",temp,"&gt;10",match,"=non")</f>
        <v>38</v>
      </c>
      <c r="D22" s="7">
        <f t="shared" si="1"/>
        <v>19</v>
      </c>
    </row>
    <row r="23" spans="1:4" x14ac:dyDescent="0.25">
      <c r="A23">
        <v>7</v>
      </c>
      <c r="B23">
        <f>COUNTIFS(mardi_jeudi,"=mardi",climat,"=pluie",temp,"&lt;=10",match,"=oui")</f>
        <v>3</v>
      </c>
      <c r="C23">
        <f>SUMIFS(joueurs,mardi_jeudi,"=mardi",climat,"=pluie",temp,"&lt;=10",match,"=oui")</f>
        <v>81</v>
      </c>
      <c r="D23" s="7">
        <f t="shared" si="1"/>
        <v>27</v>
      </c>
    </row>
    <row r="24" spans="1:4" x14ac:dyDescent="0.25">
      <c r="A24">
        <v>8</v>
      </c>
      <c r="B24">
        <f>COUNTIFS(mardi_jeudi,"=mardi",climat,"=pluie",temp,"&lt;=10",match,"=non")</f>
        <v>2</v>
      </c>
      <c r="C24">
        <f>SUMIFS(joueurs,mardi_jeudi,"=mardi",climat,"=pluie",temp,"&lt;=10",match,"=non")</f>
        <v>35</v>
      </c>
      <c r="D24" s="7">
        <f t="shared" si="1"/>
        <v>17.5</v>
      </c>
    </row>
    <row r="25" spans="1:4" x14ac:dyDescent="0.25">
      <c r="A25">
        <v>9</v>
      </c>
      <c r="B25">
        <f>COUNTIFS(mardi_jeudi,"=jeudi",climat,"=beau",temp,"&gt;10",match,"=oui")</f>
        <v>7</v>
      </c>
      <c r="C25">
        <f>SUMIFS(joueurs,mardi_jeudi,"=jeudi",climat,"=beau",temp,"&gt;10",match,"=oui")</f>
        <v>236</v>
      </c>
      <c r="D25" s="7">
        <f t="shared" si="1"/>
        <v>33.714285714285715</v>
      </c>
    </row>
    <row r="26" spans="1:4" x14ac:dyDescent="0.25">
      <c r="A26">
        <v>10</v>
      </c>
      <c r="B26">
        <f>COUNTIFS(mardi_jeudi,"=jeudi",climat,"=beau",temp,"&gt;10",match,"=non")</f>
        <v>4</v>
      </c>
      <c r="C26">
        <f>SUMIFS(joueurs,mardi_jeudi,"=jeudi",climat,"=beau",temp,"&gt;10",match,"=non")</f>
        <v>117</v>
      </c>
      <c r="D26" s="7">
        <f t="shared" si="1"/>
        <v>29.25</v>
      </c>
    </row>
    <row r="27" spans="1:4" x14ac:dyDescent="0.25">
      <c r="A27">
        <v>11</v>
      </c>
      <c r="B27">
        <f>COUNTIFS(mardi_jeudi,"=jeudi",climat,"=beau",temp,"&lt;=10",match,"=oui")</f>
        <v>1</v>
      </c>
      <c r="C27">
        <f>SUMIFS(joueurs,mardi_jeudi,"=jeudi",climat,"=beau",temp,"&lt;=10",match,"=oui")</f>
        <v>32</v>
      </c>
      <c r="D27" s="7">
        <f>C27/B27</f>
        <v>32</v>
      </c>
    </row>
    <row r="28" spans="1:4" x14ac:dyDescent="0.25">
      <c r="A28">
        <v>12</v>
      </c>
      <c r="B28">
        <f>COUNTIFS(mardi_jeudi,"=jeudi",climat,"=beau",temp,"&lt;=10",match,"=non")</f>
        <v>1</v>
      </c>
      <c r="C28">
        <f>SUMIFS(joueurs,mardi_jeudi,"=jeudi",climat,"=beau",temp,"&lt;=10",match,"=non")</f>
        <v>28</v>
      </c>
      <c r="D28" s="7">
        <f t="shared" si="1"/>
        <v>28</v>
      </c>
    </row>
    <row r="29" spans="1:4" x14ac:dyDescent="0.25">
      <c r="A29">
        <v>13</v>
      </c>
      <c r="B29">
        <f>COUNTIFS(mardi_jeudi,"=jeudi",climat,"=pluie",temp,"&gt;10",match,"=oui")</f>
        <v>2</v>
      </c>
      <c r="C29">
        <f>SUMIFS(joueurs,mardi_jeudi,"=jeudi",climat,"=pluie",temp,"&gt;10",match,"=oui")</f>
        <v>69</v>
      </c>
      <c r="D29" s="7">
        <f t="shared" si="1"/>
        <v>34.5</v>
      </c>
    </row>
    <row r="30" spans="1:4" x14ac:dyDescent="0.25">
      <c r="A30">
        <v>14</v>
      </c>
      <c r="B30">
        <f>COUNTIFS(mardi_jeudi,"=jeudi",climat,"=pluie",temp,"&gt;10",match,"=non")</f>
        <v>1</v>
      </c>
      <c r="C30">
        <f>SUMIFS(joueurs,mardi_jeudi,"=jeudi",climat,"=pluie",temp,"&gt;10",match,"=non")</f>
        <v>31</v>
      </c>
      <c r="D30" s="7">
        <f t="shared" si="1"/>
        <v>31</v>
      </c>
    </row>
    <row r="31" spans="1:4" x14ac:dyDescent="0.25">
      <c r="A31">
        <v>15</v>
      </c>
      <c r="B31">
        <f>COUNTIFS(mardi_jeudi,"=jeudi",climat,"=pluie",temp,"&lt;=10",match,"=oui")</f>
        <v>4</v>
      </c>
      <c r="C31">
        <f>SUMIFS(joueurs,mardi_jeudi,"=jeudi",climat,"=pluie",temp,"&lt;=10",match,"=oui")</f>
        <v>123</v>
      </c>
      <c r="D31" s="7">
        <f t="shared" si="1"/>
        <v>30.75</v>
      </c>
    </row>
    <row r="32" spans="1:4" x14ac:dyDescent="0.25">
      <c r="A32">
        <v>16</v>
      </c>
      <c r="B32">
        <f>COUNTIFS(mardi_jeudi,"=jeudi",climat,"=pluie",temp,"&lt;=10",match,"=non")</f>
        <v>2</v>
      </c>
      <c r="C32">
        <f>SUMIFS(joueurs,mardi_jeudi,"=jeudi",climat,"=pluie",temp,"&lt;=10",match,"=non")</f>
        <v>58</v>
      </c>
      <c r="D32" s="7">
        <f t="shared" si="1"/>
        <v>29</v>
      </c>
    </row>
  </sheetData>
  <mergeCells count="1">
    <mergeCell ref="A15:D15"/>
  </mergeCells>
  <pageMargins left="0.7" right="0.7" top="0.75" bottom="0.75" header="0.3" footer="0.3"/>
  <ignoredErrors>
    <ignoredError sqref="C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08FE-F876-4600-9FC9-A68B02A9901F}">
  <dimension ref="A2:G71"/>
  <sheetViews>
    <sheetView workbookViewId="0">
      <selection activeCell="G37" sqref="G37"/>
    </sheetView>
  </sheetViews>
  <sheetFormatPr baseColWidth="10" defaultRowHeight="15" x14ac:dyDescent="0.25"/>
  <cols>
    <col min="2" max="2" width="14.28515625" bestFit="1" customWidth="1"/>
    <col min="3" max="3" width="14.28515625" customWidth="1"/>
    <col min="4" max="4" width="11.28515625" bestFit="1" customWidth="1"/>
    <col min="5" max="5" width="6.85546875" bestFit="1" customWidth="1"/>
    <col min="6" max="6" width="4.7109375" bestFit="1" customWidth="1"/>
    <col min="7" max="7" width="20.7109375" bestFit="1" customWidth="1"/>
  </cols>
  <sheetData>
    <row r="2" spans="2:7" x14ac:dyDescent="0.25">
      <c r="B2" s="10" t="s">
        <v>0</v>
      </c>
      <c r="C2" s="10" t="s">
        <v>25</v>
      </c>
      <c r="D2" s="10" t="s">
        <v>27</v>
      </c>
      <c r="E2" s="10" t="s">
        <v>23</v>
      </c>
      <c r="F2" s="10" t="s">
        <v>30</v>
      </c>
      <c r="G2" s="10" t="s">
        <v>18</v>
      </c>
    </row>
    <row r="3" spans="2:7" x14ac:dyDescent="0.25">
      <c r="B3">
        <v>1</v>
      </c>
      <c r="C3" t="s">
        <v>44</v>
      </c>
      <c r="D3" t="s">
        <v>46</v>
      </c>
      <c r="E3" t="s">
        <v>47</v>
      </c>
      <c r="F3" t="s">
        <v>4</v>
      </c>
      <c r="G3" s="8">
        <v>32</v>
      </c>
    </row>
    <row r="4" spans="2:7" x14ac:dyDescent="0.25">
      <c r="B4">
        <v>2</v>
      </c>
      <c r="C4" t="s">
        <v>44</v>
      </c>
      <c r="D4" t="s">
        <v>46</v>
      </c>
      <c r="E4" t="s">
        <v>47</v>
      </c>
      <c r="F4" t="s">
        <v>17</v>
      </c>
      <c r="G4" s="8">
        <v>30.2</v>
      </c>
    </row>
    <row r="5" spans="2:7" x14ac:dyDescent="0.25">
      <c r="B5">
        <v>3</v>
      </c>
      <c r="C5" t="s">
        <v>44</v>
      </c>
      <c r="D5" t="s">
        <v>46</v>
      </c>
      <c r="E5" t="s">
        <v>48</v>
      </c>
      <c r="F5" t="s">
        <v>4</v>
      </c>
      <c r="G5" s="8">
        <v>32</v>
      </c>
    </row>
    <row r="6" spans="2:7" x14ac:dyDescent="0.25">
      <c r="B6">
        <v>4</v>
      </c>
      <c r="C6" t="s">
        <v>44</v>
      </c>
      <c r="D6" t="s">
        <v>46</v>
      </c>
      <c r="E6" t="s">
        <v>48</v>
      </c>
      <c r="F6" t="s">
        <v>17</v>
      </c>
      <c r="G6" s="8">
        <v>29</v>
      </c>
    </row>
    <row r="7" spans="2:7" x14ac:dyDescent="0.25">
      <c r="B7">
        <v>5</v>
      </c>
      <c r="C7" t="s">
        <v>44</v>
      </c>
      <c r="D7" t="s">
        <v>8</v>
      </c>
      <c r="E7" t="s">
        <v>47</v>
      </c>
      <c r="F7" t="s">
        <v>4</v>
      </c>
      <c r="G7" s="8">
        <v>34</v>
      </c>
    </row>
    <row r="8" spans="2:7" x14ac:dyDescent="0.25">
      <c r="B8">
        <v>6</v>
      </c>
      <c r="C8" t="s">
        <v>44</v>
      </c>
      <c r="D8" t="s">
        <v>8</v>
      </c>
      <c r="E8" t="s">
        <v>47</v>
      </c>
      <c r="F8" t="s">
        <v>17</v>
      </c>
      <c r="G8" s="8">
        <v>19</v>
      </c>
    </row>
    <row r="9" spans="2:7" x14ac:dyDescent="0.25">
      <c r="B9">
        <v>7</v>
      </c>
      <c r="C9" t="s">
        <v>44</v>
      </c>
      <c r="D9" t="s">
        <v>8</v>
      </c>
      <c r="E9" t="s">
        <v>48</v>
      </c>
      <c r="F9" t="s">
        <v>4</v>
      </c>
      <c r="G9" s="8">
        <v>27</v>
      </c>
    </row>
    <row r="10" spans="2:7" x14ac:dyDescent="0.25">
      <c r="B10">
        <v>8</v>
      </c>
      <c r="C10" t="s">
        <v>44</v>
      </c>
      <c r="D10" t="s">
        <v>8</v>
      </c>
      <c r="E10" t="s">
        <v>48</v>
      </c>
      <c r="F10" t="s">
        <v>17</v>
      </c>
      <c r="G10" s="8">
        <v>17.5</v>
      </c>
    </row>
    <row r="11" spans="2:7" x14ac:dyDescent="0.25">
      <c r="B11">
        <v>9</v>
      </c>
      <c r="C11" t="s">
        <v>45</v>
      </c>
      <c r="D11" t="s">
        <v>46</v>
      </c>
      <c r="E11" t="s">
        <v>47</v>
      </c>
      <c r="F11" t="s">
        <v>4</v>
      </c>
      <c r="G11" s="8">
        <v>33.714285714285715</v>
      </c>
    </row>
    <row r="12" spans="2:7" x14ac:dyDescent="0.25">
      <c r="B12">
        <v>10</v>
      </c>
      <c r="C12" t="s">
        <v>45</v>
      </c>
      <c r="D12" t="s">
        <v>46</v>
      </c>
      <c r="E12" t="s">
        <v>47</v>
      </c>
      <c r="F12" t="s">
        <v>17</v>
      </c>
      <c r="G12" s="8">
        <v>29.25</v>
      </c>
    </row>
    <row r="13" spans="2:7" x14ac:dyDescent="0.25">
      <c r="B13">
        <v>11</v>
      </c>
      <c r="C13" t="s">
        <v>45</v>
      </c>
      <c r="D13" t="s">
        <v>46</v>
      </c>
      <c r="E13" t="s">
        <v>48</v>
      </c>
      <c r="F13" t="s">
        <v>4</v>
      </c>
      <c r="G13" s="8">
        <v>32</v>
      </c>
    </row>
    <row r="14" spans="2:7" x14ac:dyDescent="0.25">
      <c r="B14">
        <v>12</v>
      </c>
      <c r="C14" t="s">
        <v>45</v>
      </c>
      <c r="D14" t="s">
        <v>46</v>
      </c>
      <c r="E14" t="s">
        <v>48</v>
      </c>
      <c r="F14" t="s">
        <v>17</v>
      </c>
      <c r="G14" s="8">
        <v>28</v>
      </c>
    </row>
    <row r="15" spans="2:7" x14ac:dyDescent="0.25">
      <c r="B15">
        <v>13</v>
      </c>
      <c r="C15" t="s">
        <v>45</v>
      </c>
      <c r="D15" t="s">
        <v>8</v>
      </c>
      <c r="E15" t="s">
        <v>47</v>
      </c>
      <c r="F15" t="s">
        <v>4</v>
      </c>
      <c r="G15" s="8">
        <v>34.5</v>
      </c>
    </row>
    <row r="16" spans="2:7" x14ac:dyDescent="0.25">
      <c r="B16">
        <v>14</v>
      </c>
      <c r="C16" t="s">
        <v>45</v>
      </c>
      <c r="D16" t="s">
        <v>8</v>
      </c>
      <c r="E16" t="s">
        <v>47</v>
      </c>
      <c r="F16" t="s">
        <v>17</v>
      </c>
      <c r="G16" s="8">
        <v>31</v>
      </c>
    </row>
    <row r="17" spans="1:7" x14ac:dyDescent="0.25">
      <c r="B17">
        <v>15</v>
      </c>
      <c r="C17" t="s">
        <v>45</v>
      </c>
      <c r="D17" t="s">
        <v>8</v>
      </c>
      <c r="E17" t="s">
        <v>48</v>
      </c>
      <c r="F17" t="s">
        <v>4</v>
      </c>
      <c r="G17" s="8">
        <v>30.75</v>
      </c>
    </row>
    <row r="18" spans="1:7" x14ac:dyDescent="0.25">
      <c r="B18">
        <v>16</v>
      </c>
      <c r="C18" t="s">
        <v>45</v>
      </c>
      <c r="D18" t="s">
        <v>8</v>
      </c>
      <c r="E18" t="s">
        <v>48</v>
      </c>
      <c r="F18" t="s">
        <v>17</v>
      </c>
      <c r="G18" s="8">
        <v>29</v>
      </c>
    </row>
    <row r="20" spans="1:7" x14ac:dyDescent="0.25">
      <c r="A20" t="s">
        <v>70</v>
      </c>
    </row>
    <row r="22" spans="1:7" x14ac:dyDescent="0.25">
      <c r="A22" t="s">
        <v>24</v>
      </c>
    </row>
    <row r="24" spans="1:7" x14ac:dyDescent="0.25">
      <c r="B24" t="s">
        <v>44</v>
      </c>
      <c r="C24" t="s">
        <v>45</v>
      </c>
    </row>
    <row r="25" spans="1:7" x14ac:dyDescent="0.25">
      <c r="B25" s="31">
        <v>32</v>
      </c>
      <c r="C25" s="31">
        <v>33.714285714285715</v>
      </c>
    </row>
    <row r="26" spans="1:7" x14ac:dyDescent="0.25">
      <c r="B26" s="32">
        <v>30.2</v>
      </c>
      <c r="C26" s="32">
        <v>29.25</v>
      </c>
    </row>
    <row r="27" spans="1:7" x14ac:dyDescent="0.25">
      <c r="B27" s="31">
        <v>32</v>
      </c>
      <c r="C27" s="31">
        <v>32</v>
      </c>
    </row>
    <row r="28" spans="1:7" x14ac:dyDescent="0.25">
      <c r="B28" s="32">
        <v>29</v>
      </c>
      <c r="C28" s="32">
        <v>28</v>
      </c>
    </row>
    <row r="29" spans="1:7" x14ac:dyDescent="0.25">
      <c r="B29" s="31">
        <v>34</v>
      </c>
      <c r="C29" s="31">
        <v>34.5</v>
      </c>
    </row>
    <row r="30" spans="1:7" x14ac:dyDescent="0.25">
      <c r="B30" s="32">
        <v>19</v>
      </c>
      <c r="C30" s="32">
        <v>31</v>
      </c>
    </row>
    <row r="31" spans="1:7" x14ac:dyDescent="0.25">
      <c r="B31" s="31">
        <v>27</v>
      </c>
      <c r="C31" s="31">
        <v>30.75</v>
      </c>
    </row>
    <row r="32" spans="1:7" x14ac:dyDescent="0.25">
      <c r="B32" s="32">
        <v>17.5</v>
      </c>
      <c r="C32" s="33">
        <v>29</v>
      </c>
    </row>
    <row r="35" spans="1:3" x14ac:dyDescent="0.25">
      <c r="A35" t="s">
        <v>39</v>
      </c>
    </row>
    <row r="37" spans="1:3" x14ac:dyDescent="0.25">
      <c r="B37" t="s">
        <v>46</v>
      </c>
      <c r="C37" t="s">
        <v>8</v>
      </c>
    </row>
    <row r="38" spans="1:3" x14ac:dyDescent="0.25">
      <c r="B38" s="34">
        <v>32</v>
      </c>
      <c r="C38" s="31">
        <v>34</v>
      </c>
    </row>
    <row r="39" spans="1:3" x14ac:dyDescent="0.25">
      <c r="B39" s="35">
        <v>30.2</v>
      </c>
      <c r="C39" s="32">
        <v>19</v>
      </c>
    </row>
    <row r="40" spans="1:3" x14ac:dyDescent="0.25">
      <c r="B40" s="34">
        <v>32</v>
      </c>
      <c r="C40" s="31">
        <v>27</v>
      </c>
    </row>
    <row r="41" spans="1:3" x14ac:dyDescent="0.25">
      <c r="B41" s="35">
        <v>29</v>
      </c>
      <c r="C41" s="32">
        <v>17.5</v>
      </c>
    </row>
    <row r="42" spans="1:3" x14ac:dyDescent="0.25">
      <c r="B42" s="34">
        <v>33.714285714285715</v>
      </c>
      <c r="C42" s="31">
        <v>34.5</v>
      </c>
    </row>
    <row r="43" spans="1:3" x14ac:dyDescent="0.25">
      <c r="B43" s="35">
        <v>29.25</v>
      </c>
      <c r="C43" s="32">
        <v>31</v>
      </c>
    </row>
    <row r="44" spans="1:3" x14ac:dyDescent="0.25">
      <c r="B44" s="34">
        <v>32</v>
      </c>
      <c r="C44" s="31">
        <v>30.75</v>
      </c>
    </row>
    <row r="45" spans="1:3" x14ac:dyDescent="0.25">
      <c r="B45" s="35">
        <v>28</v>
      </c>
      <c r="C45" s="33">
        <v>29</v>
      </c>
    </row>
    <row r="48" spans="1:3" x14ac:dyDescent="0.25">
      <c r="A48" t="s">
        <v>22</v>
      </c>
    </row>
    <row r="50" spans="1:3" x14ac:dyDescent="0.25">
      <c r="B50" t="s">
        <v>47</v>
      </c>
      <c r="C50" t="s">
        <v>48</v>
      </c>
    </row>
    <row r="51" spans="1:3" x14ac:dyDescent="0.25">
      <c r="B51" s="37">
        <v>32</v>
      </c>
      <c r="C51" s="31">
        <v>32</v>
      </c>
    </row>
    <row r="52" spans="1:3" x14ac:dyDescent="0.25">
      <c r="B52" s="35">
        <v>30.2</v>
      </c>
      <c r="C52" s="32">
        <v>29</v>
      </c>
    </row>
    <row r="53" spans="1:3" x14ac:dyDescent="0.25">
      <c r="B53" s="34">
        <v>34</v>
      </c>
      <c r="C53" s="31">
        <v>27</v>
      </c>
    </row>
    <row r="54" spans="1:3" x14ac:dyDescent="0.25">
      <c r="B54" s="35">
        <v>19</v>
      </c>
      <c r="C54" s="32">
        <v>17.5</v>
      </c>
    </row>
    <row r="55" spans="1:3" x14ac:dyDescent="0.25">
      <c r="B55" s="34">
        <v>33.714285714285715</v>
      </c>
      <c r="C55" s="31">
        <v>32</v>
      </c>
    </row>
    <row r="56" spans="1:3" x14ac:dyDescent="0.25">
      <c r="B56" s="35">
        <v>29.25</v>
      </c>
      <c r="C56" s="32">
        <v>28</v>
      </c>
    </row>
    <row r="57" spans="1:3" x14ac:dyDescent="0.25">
      <c r="B57" s="34">
        <v>34.5</v>
      </c>
      <c r="C57" s="31">
        <v>30.75</v>
      </c>
    </row>
    <row r="58" spans="1:3" x14ac:dyDescent="0.25">
      <c r="B58" s="36">
        <v>31</v>
      </c>
      <c r="C58" s="33">
        <v>29</v>
      </c>
    </row>
    <row r="61" spans="1:3" x14ac:dyDescent="0.25">
      <c r="A61" t="s">
        <v>31</v>
      </c>
    </row>
    <row r="63" spans="1:3" x14ac:dyDescent="0.25">
      <c r="B63" t="s">
        <v>4</v>
      </c>
      <c r="C63" t="s">
        <v>17</v>
      </c>
    </row>
    <row r="64" spans="1:3" x14ac:dyDescent="0.25">
      <c r="B64" s="31">
        <v>32</v>
      </c>
      <c r="C64" s="31">
        <v>30.2</v>
      </c>
    </row>
    <row r="65" spans="2:3" x14ac:dyDescent="0.25">
      <c r="B65" s="32">
        <v>32</v>
      </c>
      <c r="C65" s="32">
        <v>29</v>
      </c>
    </row>
    <row r="66" spans="2:3" x14ac:dyDescent="0.25">
      <c r="B66" s="31">
        <v>34</v>
      </c>
      <c r="C66" s="31">
        <v>19</v>
      </c>
    </row>
    <row r="67" spans="2:3" x14ac:dyDescent="0.25">
      <c r="B67" s="32">
        <v>27</v>
      </c>
      <c r="C67" s="32">
        <v>17.5</v>
      </c>
    </row>
    <row r="68" spans="2:3" x14ac:dyDescent="0.25">
      <c r="B68" s="31">
        <v>33.714285714285715</v>
      </c>
      <c r="C68" s="31">
        <v>29.25</v>
      </c>
    </row>
    <row r="69" spans="2:3" x14ac:dyDescent="0.25">
      <c r="B69" s="32">
        <v>32</v>
      </c>
      <c r="C69" s="32">
        <v>28</v>
      </c>
    </row>
    <row r="70" spans="2:3" x14ac:dyDescent="0.25">
      <c r="B70" s="31">
        <v>34.5</v>
      </c>
      <c r="C70" s="31">
        <v>31</v>
      </c>
    </row>
    <row r="71" spans="2:3" x14ac:dyDescent="0.25">
      <c r="B71" s="33">
        <v>30.75</v>
      </c>
      <c r="C71" s="33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8834-2FE6-4976-AFCA-DE21A05E64CC}">
  <dimension ref="A1:G14"/>
  <sheetViews>
    <sheetView workbookViewId="0">
      <selection activeCell="E13" sqref="E13"/>
    </sheetView>
  </sheetViews>
  <sheetFormatPr baseColWidth="10" defaultRowHeight="15" x14ac:dyDescent="0.25"/>
  <cols>
    <col min="1" max="1" width="28.7109375" bestFit="1" customWidth="1"/>
    <col min="2" max="2" width="22" bestFit="1" customWidth="1"/>
    <col min="3" max="3" width="15.28515625" bestFit="1" customWidth="1"/>
    <col min="4" max="4" width="19.28515625" bestFit="1" customWidth="1"/>
    <col min="7" max="7" width="20.42578125" bestFit="1" customWidth="1"/>
  </cols>
  <sheetData>
    <row r="1" spans="1:7" x14ac:dyDescent="0.25">
      <c r="A1" t="s">
        <v>53</v>
      </c>
    </row>
    <row r="3" spans="1:7" ht="15.75" thickBot="1" x14ac:dyDescent="0.3">
      <c r="A3" t="s">
        <v>71</v>
      </c>
    </row>
    <row r="4" spans="1:7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spans="1:7" x14ac:dyDescent="0.25">
      <c r="A5" t="s">
        <v>44</v>
      </c>
      <c r="B5">
        <v>8</v>
      </c>
      <c r="C5">
        <v>220.7</v>
      </c>
      <c r="D5">
        <v>27.587499999999999</v>
      </c>
      <c r="E5">
        <v>37.818392857142889</v>
      </c>
    </row>
    <row r="6" spans="1:7" ht="15.75" thickBot="1" x14ac:dyDescent="0.3">
      <c r="A6" s="11" t="s">
        <v>45</v>
      </c>
      <c r="B6" s="11">
        <v>8</v>
      </c>
      <c r="C6" s="11">
        <v>248.21428571428572</v>
      </c>
      <c r="D6" s="11">
        <v>31.026785714285715</v>
      </c>
      <c r="E6" s="11">
        <v>5.2480867346938789</v>
      </c>
    </row>
    <row r="9" spans="1:7" ht="15.75" thickBot="1" x14ac:dyDescent="0.3">
      <c r="A9" t="s">
        <v>59</v>
      </c>
    </row>
    <row r="10" spans="1:7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</row>
    <row r="11" spans="1:7" x14ac:dyDescent="0.25">
      <c r="A11" t="s">
        <v>67</v>
      </c>
      <c r="B11">
        <v>47.314744897959145</v>
      </c>
      <c r="C11">
        <v>1</v>
      </c>
      <c r="D11">
        <v>47.314744897959145</v>
      </c>
      <c r="E11">
        <v>2.1972887195046082</v>
      </c>
      <c r="F11">
        <v>0.16041106052139098</v>
      </c>
      <c r="G11">
        <v>4.6001099366694227</v>
      </c>
    </row>
    <row r="12" spans="1:7" x14ac:dyDescent="0.25">
      <c r="A12" t="s">
        <v>68</v>
      </c>
      <c r="B12">
        <v>301.46535714285716</v>
      </c>
      <c r="C12">
        <v>14</v>
      </c>
      <c r="D12">
        <v>21.533239795918369</v>
      </c>
    </row>
    <row r="14" spans="1:7" ht="15.75" thickBot="1" x14ac:dyDescent="0.3">
      <c r="A14" s="11" t="s">
        <v>69</v>
      </c>
      <c r="B14" s="11">
        <v>348.7801020408163</v>
      </c>
      <c r="C14" s="11">
        <v>15</v>
      </c>
      <c r="D14" s="11"/>
      <c r="E14" s="11"/>
      <c r="F14" s="11"/>
      <c r="G1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1C07-35D7-424E-BD96-CEED204FC8E3}">
  <dimension ref="A1:G14"/>
  <sheetViews>
    <sheetView workbookViewId="0">
      <selection activeCell="G14" sqref="A3:G14"/>
    </sheetView>
  </sheetViews>
  <sheetFormatPr baseColWidth="10" defaultRowHeight="15" x14ac:dyDescent="0.25"/>
  <cols>
    <col min="1" max="1" width="28.7109375" bestFit="1" customWidth="1"/>
    <col min="2" max="2" width="22" bestFit="1" customWidth="1"/>
    <col min="3" max="3" width="15.28515625" bestFit="1" customWidth="1"/>
    <col min="4" max="4" width="19.28515625" bestFit="1" customWidth="1"/>
    <col min="5" max="6" width="12" bestFit="1" customWidth="1"/>
    <col min="7" max="7" width="20.42578125" bestFit="1" customWidth="1"/>
  </cols>
  <sheetData>
    <row r="1" spans="1:7" x14ac:dyDescent="0.25">
      <c r="A1" t="s">
        <v>53</v>
      </c>
    </row>
    <row r="3" spans="1:7" ht="15.75" thickBot="1" x14ac:dyDescent="0.3">
      <c r="A3" t="s">
        <v>72</v>
      </c>
    </row>
    <row r="4" spans="1:7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spans="1:7" x14ac:dyDescent="0.25">
      <c r="A5" t="s">
        <v>46</v>
      </c>
      <c r="B5">
        <v>8</v>
      </c>
      <c r="C5">
        <v>246.16428571428571</v>
      </c>
      <c r="D5">
        <v>30.770535714285714</v>
      </c>
      <c r="E5">
        <v>3.8069451530612253</v>
      </c>
    </row>
    <row r="6" spans="1:7" ht="15.75" thickBot="1" x14ac:dyDescent="0.3">
      <c r="A6" s="11" t="s">
        <v>8</v>
      </c>
      <c r="B6" s="11">
        <v>8</v>
      </c>
      <c r="C6" s="11">
        <v>222.75</v>
      </c>
      <c r="D6" s="11">
        <v>27.84375</v>
      </c>
      <c r="E6" s="11">
        <v>41.123883928571431</v>
      </c>
    </row>
    <row r="9" spans="1:7" ht="15.75" thickBot="1" x14ac:dyDescent="0.3">
      <c r="A9" t="s">
        <v>59</v>
      </c>
    </row>
    <row r="10" spans="1:7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</row>
    <row r="11" spans="1:7" x14ac:dyDescent="0.25">
      <c r="A11" t="s">
        <v>67</v>
      </c>
      <c r="B11">
        <v>34.264298469387711</v>
      </c>
      <c r="C11">
        <v>1</v>
      </c>
      <c r="D11">
        <v>34.264298469387711</v>
      </c>
      <c r="E11">
        <v>1.5252021460425116</v>
      </c>
      <c r="F11">
        <v>0.23715978169130111</v>
      </c>
      <c r="G11">
        <v>4.6001099366694227</v>
      </c>
    </row>
    <row r="12" spans="1:7" x14ac:dyDescent="0.25">
      <c r="A12" t="s">
        <v>68</v>
      </c>
      <c r="B12">
        <v>314.51580357142859</v>
      </c>
      <c r="C12">
        <v>14</v>
      </c>
      <c r="D12">
        <v>22.465414540816329</v>
      </c>
    </row>
    <row r="14" spans="1:7" ht="15.75" thickBot="1" x14ac:dyDescent="0.3">
      <c r="A14" s="11" t="s">
        <v>69</v>
      </c>
      <c r="B14" s="11">
        <v>348.7801020408163</v>
      </c>
      <c r="C14" s="11">
        <v>15</v>
      </c>
      <c r="D14" s="11"/>
      <c r="E14" s="11"/>
      <c r="F14" s="11"/>
      <c r="G1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8C04-1FB6-46C3-90E6-A2C0586FE309}">
  <dimension ref="A1:G14"/>
  <sheetViews>
    <sheetView workbookViewId="0">
      <selection activeCell="G14" sqref="A3:G14"/>
    </sheetView>
  </sheetViews>
  <sheetFormatPr baseColWidth="10" defaultRowHeight="15" x14ac:dyDescent="0.25"/>
  <cols>
    <col min="1" max="1" width="28.7109375" bestFit="1" customWidth="1"/>
    <col min="2" max="2" width="22" bestFit="1" customWidth="1"/>
    <col min="3" max="3" width="15.28515625" bestFit="1" customWidth="1"/>
    <col min="4" max="4" width="19.28515625" bestFit="1" customWidth="1"/>
    <col min="5" max="6" width="12" bestFit="1" customWidth="1"/>
    <col min="7" max="7" width="20.42578125" bestFit="1" customWidth="1"/>
  </cols>
  <sheetData>
    <row r="1" spans="1:7" x14ac:dyDescent="0.25">
      <c r="A1" t="s">
        <v>53</v>
      </c>
    </row>
    <row r="3" spans="1:7" ht="15.75" thickBot="1" x14ac:dyDescent="0.3">
      <c r="A3" t="s">
        <v>73</v>
      </c>
    </row>
    <row r="4" spans="1:7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spans="1:7" x14ac:dyDescent="0.25">
      <c r="A5" t="s">
        <v>47</v>
      </c>
      <c r="B5">
        <v>8</v>
      </c>
      <c r="C5">
        <v>243.66428571428571</v>
      </c>
      <c r="D5">
        <v>30.458035714285714</v>
      </c>
      <c r="E5">
        <v>24.995720663265274</v>
      </c>
    </row>
    <row r="6" spans="1:7" ht="15.75" thickBot="1" x14ac:dyDescent="0.3">
      <c r="A6" s="11" t="s">
        <v>48</v>
      </c>
      <c r="B6" s="11">
        <v>8</v>
      </c>
      <c r="C6" s="11">
        <v>225.25</v>
      </c>
      <c r="D6" s="11">
        <v>28.15625</v>
      </c>
      <c r="E6" s="11">
        <v>21.802455357142858</v>
      </c>
    </row>
    <row r="9" spans="1:7" ht="15.75" thickBot="1" x14ac:dyDescent="0.3">
      <c r="A9" t="s">
        <v>59</v>
      </c>
    </row>
    <row r="10" spans="1:7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</row>
    <row r="11" spans="1:7" x14ac:dyDescent="0.25">
      <c r="A11" t="s">
        <v>67</v>
      </c>
      <c r="B11">
        <v>21.192869897959213</v>
      </c>
      <c r="C11">
        <v>1</v>
      </c>
      <c r="D11">
        <v>21.192869897959213</v>
      </c>
      <c r="E11">
        <v>0.90571349997560746</v>
      </c>
      <c r="F11">
        <v>0.35739671727365963</v>
      </c>
      <c r="G11">
        <v>4.6001099366694227</v>
      </c>
    </row>
    <row r="12" spans="1:7" x14ac:dyDescent="0.25">
      <c r="A12" t="s">
        <v>68</v>
      </c>
      <c r="B12">
        <v>327.58723214285715</v>
      </c>
      <c r="C12">
        <v>14</v>
      </c>
      <c r="D12">
        <v>23.399088010204082</v>
      </c>
    </row>
    <row r="14" spans="1:7" ht="15.75" thickBot="1" x14ac:dyDescent="0.3">
      <c r="A14" s="11" t="s">
        <v>69</v>
      </c>
      <c r="B14" s="11">
        <v>348.78010204081636</v>
      </c>
      <c r="C14" s="11">
        <v>15</v>
      </c>
      <c r="D14" s="11"/>
      <c r="E14" s="11"/>
      <c r="F14" s="11"/>
      <c r="G1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D81D-F60F-4BEB-9211-E0FB31E20952}">
  <dimension ref="A1:G14"/>
  <sheetViews>
    <sheetView tabSelected="1" workbookViewId="0">
      <selection activeCell="G14" sqref="A3:G14"/>
    </sheetView>
  </sheetViews>
  <sheetFormatPr baseColWidth="10" defaultRowHeight="15" x14ac:dyDescent="0.25"/>
  <cols>
    <col min="1" max="1" width="28.7109375" bestFit="1" customWidth="1"/>
    <col min="2" max="2" width="22" bestFit="1" customWidth="1"/>
    <col min="3" max="3" width="15.28515625" bestFit="1" customWidth="1"/>
    <col min="4" max="4" width="19.28515625" bestFit="1" customWidth="1"/>
    <col min="5" max="5" width="12" bestFit="1" customWidth="1"/>
    <col min="6" max="6" width="11.140625" bestFit="1" customWidth="1"/>
    <col min="7" max="7" width="20.42578125" bestFit="1" customWidth="1"/>
  </cols>
  <sheetData>
    <row r="1" spans="1:7" x14ac:dyDescent="0.25">
      <c r="A1" t="s">
        <v>53</v>
      </c>
    </row>
    <row r="3" spans="1:7" ht="15.75" thickBot="1" x14ac:dyDescent="0.3">
      <c r="A3" t="s">
        <v>74</v>
      </c>
    </row>
    <row r="4" spans="1:7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spans="1:7" x14ac:dyDescent="0.25">
      <c r="A5" t="s">
        <v>4</v>
      </c>
      <c r="B5">
        <v>8</v>
      </c>
      <c r="C5">
        <v>255.96428571428572</v>
      </c>
      <c r="D5">
        <v>31.995535714285715</v>
      </c>
      <c r="E5">
        <v>5.6787308673469399</v>
      </c>
    </row>
    <row r="6" spans="1:7" ht="15.75" thickBot="1" x14ac:dyDescent="0.3">
      <c r="A6" s="11" t="s">
        <v>17</v>
      </c>
      <c r="B6" s="11">
        <v>8</v>
      </c>
      <c r="C6" s="11">
        <v>212.95</v>
      </c>
      <c r="D6" s="11">
        <v>26.618749999999999</v>
      </c>
      <c r="E6" s="11">
        <v>27.627098214285848</v>
      </c>
    </row>
    <row r="9" spans="1:7" ht="15.75" thickBot="1" x14ac:dyDescent="0.3">
      <c r="A9" t="s">
        <v>59</v>
      </c>
    </row>
    <row r="10" spans="1:7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</row>
    <row r="11" spans="1:7" x14ac:dyDescent="0.25">
      <c r="A11" t="s">
        <v>67</v>
      </c>
      <c r="B11">
        <v>115.63929846938777</v>
      </c>
      <c r="C11">
        <v>1</v>
      </c>
      <c r="D11">
        <v>115.63929846938777</v>
      </c>
      <c r="E11">
        <v>6.9440876662133588</v>
      </c>
      <c r="F11">
        <v>1.9588170254012324E-2</v>
      </c>
      <c r="G11">
        <v>4.6001099366694227</v>
      </c>
    </row>
    <row r="12" spans="1:7" x14ac:dyDescent="0.25">
      <c r="A12" t="s">
        <v>68</v>
      </c>
      <c r="B12">
        <v>233.14080357142859</v>
      </c>
      <c r="C12">
        <v>14</v>
      </c>
      <c r="D12">
        <v>16.652914540816329</v>
      </c>
    </row>
    <row r="14" spans="1:7" ht="15.75" thickBot="1" x14ac:dyDescent="0.3">
      <c r="A14" s="11" t="s">
        <v>69</v>
      </c>
      <c r="B14" s="11">
        <v>348.78010204081636</v>
      </c>
      <c r="C14" s="11">
        <v>15</v>
      </c>
      <c r="D14" s="11"/>
      <c r="E14" s="11"/>
      <c r="F14" s="11"/>
      <c r="G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12</vt:i4>
      </vt:variant>
    </vt:vector>
  </HeadingPairs>
  <TitlesOfParts>
    <vt:vector size="19" baseType="lpstr">
      <vt:lpstr>Plan_Factoriel</vt:lpstr>
      <vt:lpstr>DATA</vt:lpstr>
      <vt:lpstr>TO_ANALYSE</vt:lpstr>
      <vt:lpstr>JOUR_ANALYSE</vt:lpstr>
      <vt:lpstr>CLIMAT_ANALYSE</vt:lpstr>
      <vt:lpstr>TEMPERATURE_ANALYSE</vt:lpstr>
      <vt:lpstr>MATCH_ANALYSE</vt:lpstr>
      <vt:lpstr>climat</vt:lpstr>
      <vt:lpstr>Jeudis</vt:lpstr>
      <vt:lpstr>joueurs</vt:lpstr>
      <vt:lpstr>Jours</vt:lpstr>
      <vt:lpstr>mardi_jeudi</vt:lpstr>
      <vt:lpstr>Mardis</vt:lpstr>
      <vt:lpstr>match</vt:lpstr>
      <vt:lpstr>presence</vt:lpstr>
      <vt:lpstr>releve_meteo</vt:lpstr>
      <vt:lpstr>temp</vt:lpstr>
      <vt:lpstr>tot_jeudis</vt:lpstr>
      <vt:lpstr>tot_mardis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Gohory</dc:creator>
  <cp:lastModifiedBy>Emmanuel Gohory</cp:lastModifiedBy>
  <cp:lastPrinted>2026-02-20T11:36:09Z</cp:lastPrinted>
  <dcterms:created xsi:type="dcterms:W3CDTF">2026-02-19T13:54:28Z</dcterms:created>
  <dcterms:modified xsi:type="dcterms:W3CDTF">2026-02-24T13:57:53Z</dcterms:modified>
</cp:coreProperties>
</file>